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/>
  <workbookPr codeName="ThisWorkbook"/>
  <mc:AlternateContent xmlns:mc="http://schemas.openxmlformats.org/markup-compatibility/2006">
    <mc:Choice Requires="x15">
      <x15ac:absPath xmlns:x15ac="http://schemas.microsoft.com/office/spreadsheetml/2010/11/ac" url="M:\Documents\Education\Mathematics\Columbia\Courses\Electives\Quantitative Methods in Investment Management\Project\Data\"/>
    </mc:Choice>
  </mc:AlternateContent>
  <xr:revisionPtr revIDLastSave="0" documentId="13_ncr:1_{DB7D0E9E-DEBC-497E-9A30-EA314D5FB570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Economic Activity" sheetId="10" r:id="rId1"/>
  </sheets>
  <definedNames>
    <definedName name="_xlnm._FilterDatabase" localSheetId="0" hidden="1">'Economic Activity'!#REF!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5" i="10" l="1"/>
  <c r="E6" i="10"/>
  <c r="E7" i="10"/>
  <c r="E8" i="10"/>
  <c r="E9" i="10"/>
  <c r="E10" i="10"/>
  <c r="E13" i="10"/>
  <c r="E14" i="10"/>
  <c r="E15" i="10"/>
  <c r="E16" i="10"/>
  <c r="E19" i="10"/>
  <c r="E20" i="10"/>
  <c r="E21" i="10"/>
  <c r="E22" i="10"/>
  <c r="E25" i="10"/>
  <c r="E26" i="10"/>
  <c r="E27" i="10"/>
  <c r="E28" i="10"/>
  <c r="E29" i="10"/>
  <c r="E30" i="10"/>
  <c r="E33" i="10"/>
  <c r="E34" i="10"/>
  <c r="E35" i="10"/>
  <c r="E36" i="10"/>
  <c r="E39" i="10"/>
  <c r="E40" i="10"/>
  <c r="E41" i="10"/>
  <c r="E42" i="10"/>
  <c r="E45" i="10"/>
  <c r="E46" i="10"/>
  <c r="E47" i="10"/>
  <c r="E48" i="10"/>
  <c r="E49" i="10"/>
  <c r="E50" i="10"/>
  <c r="E53" i="10"/>
  <c r="E54" i="10"/>
  <c r="E55" i="10"/>
  <c r="E56" i="10"/>
  <c r="E59" i="10"/>
  <c r="E60" i="10"/>
  <c r="E61" i="10"/>
  <c r="E62" i="10"/>
  <c r="E65" i="10"/>
  <c r="E66" i="10"/>
  <c r="E67" i="10"/>
  <c r="E68" i="10"/>
  <c r="E69" i="10"/>
  <c r="E70" i="10"/>
  <c r="E73" i="10"/>
  <c r="E74" i="10"/>
  <c r="E75" i="10"/>
  <c r="E76" i="10"/>
  <c r="E79" i="10"/>
  <c r="E80" i="10"/>
  <c r="E81" i="10"/>
  <c r="E82" i="10"/>
  <c r="E85" i="10"/>
  <c r="E86" i="10"/>
  <c r="E87" i="10"/>
  <c r="E88" i="10"/>
  <c r="E89" i="10"/>
  <c r="E90" i="10"/>
  <c r="E93" i="10"/>
  <c r="E94" i="10"/>
  <c r="E95" i="10"/>
  <c r="E96" i="10"/>
  <c r="E99" i="10"/>
  <c r="E100" i="10"/>
  <c r="E101" i="10"/>
  <c r="E102" i="10"/>
  <c r="E105" i="10"/>
  <c r="E106" i="10"/>
  <c r="E107" i="10"/>
  <c r="E108" i="10"/>
  <c r="E109" i="10"/>
  <c r="E110" i="10"/>
  <c r="E113" i="10"/>
  <c r="E114" i="10"/>
  <c r="E115" i="10"/>
  <c r="E116" i="10"/>
  <c r="E119" i="10"/>
  <c r="E120" i="10"/>
  <c r="E121" i="10"/>
  <c r="E122" i="10"/>
  <c r="E125" i="10"/>
  <c r="E126" i="10"/>
  <c r="E127" i="10"/>
  <c r="E128" i="10"/>
  <c r="E129" i="10"/>
  <c r="E130" i="10"/>
  <c r="E133" i="10"/>
  <c r="E134" i="10"/>
  <c r="E135" i="10"/>
  <c r="E136" i="10"/>
  <c r="E139" i="10"/>
  <c r="E140" i="10"/>
  <c r="E141" i="10"/>
  <c r="E142" i="10"/>
  <c r="E145" i="10"/>
  <c r="E146" i="10"/>
  <c r="E147" i="10"/>
  <c r="E148" i="10"/>
  <c r="E149" i="10"/>
  <c r="E150" i="10"/>
  <c r="E153" i="10"/>
  <c r="E154" i="10"/>
  <c r="E155" i="10"/>
  <c r="E156" i="10"/>
  <c r="E159" i="10"/>
  <c r="E160" i="10"/>
  <c r="E162" i="10"/>
  <c r="E165" i="10"/>
  <c r="E166" i="10"/>
  <c r="E167" i="10"/>
  <c r="E168" i="10"/>
  <c r="E169" i="10"/>
  <c r="E170" i="10"/>
  <c r="E173" i="10"/>
  <c r="E174" i="10"/>
  <c r="E175" i="10"/>
  <c r="E176" i="10"/>
  <c r="E179" i="10"/>
  <c r="E180" i="10"/>
  <c r="E181" i="10"/>
  <c r="E182" i="10"/>
  <c r="E185" i="10"/>
  <c r="E186" i="10"/>
  <c r="E187" i="10"/>
  <c r="E188" i="10"/>
  <c r="E189" i="10"/>
  <c r="E190" i="10"/>
  <c r="E193" i="10"/>
  <c r="E194" i="10"/>
  <c r="E195" i="10"/>
  <c r="E196" i="10"/>
  <c r="E199" i="10"/>
  <c r="E200" i="10"/>
  <c r="E201" i="10"/>
  <c r="E202" i="10"/>
  <c r="E205" i="10"/>
  <c r="E206" i="10"/>
  <c r="E207" i="10"/>
  <c r="E208" i="10"/>
  <c r="E209" i="10"/>
  <c r="E210" i="10"/>
  <c r="E213" i="10"/>
  <c r="E214" i="10"/>
  <c r="E215" i="10"/>
  <c r="E216" i="10"/>
  <c r="E219" i="10"/>
  <c r="E221" i="10"/>
  <c r="E222" i="10"/>
  <c r="E225" i="10"/>
  <c r="E226" i="10"/>
  <c r="E227" i="10"/>
  <c r="E228" i="10"/>
  <c r="E229" i="10"/>
  <c r="E230" i="10"/>
  <c r="E233" i="10"/>
  <c r="E234" i="10"/>
  <c r="E235" i="10"/>
  <c r="E236" i="10"/>
  <c r="E239" i="10"/>
  <c r="E2" i="10"/>
  <c r="D3" i="10"/>
  <c r="E3" i="10" s="1"/>
  <c r="D4" i="10"/>
  <c r="E4" i="10" s="1"/>
  <c r="D5" i="10"/>
  <c r="D6" i="10"/>
  <c r="D7" i="10"/>
  <c r="D8" i="10"/>
  <c r="D9" i="10"/>
  <c r="D10" i="10"/>
  <c r="D11" i="10"/>
  <c r="E11" i="10" s="1"/>
  <c r="D12" i="10"/>
  <c r="E12" i="10" s="1"/>
  <c r="D13" i="10"/>
  <c r="D14" i="10"/>
  <c r="D15" i="10"/>
  <c r="D16" i="10"/>
  <c r="D17" i="10"/>
  <c r="E17" i="10" s="1"/>
  <c r="D18" i="10"/>
  <c r="E18" i="10" s="1"/>
  <c r="D19" i="10"/>
  <c r="D20" i="10"/>
  <c r="D21" i="10"/>
  <c r="D22" i="10"/>
  <c r="D23" i="10"/>
  <c r="E23" i="10" s="1"/>
  <c r="D24" i="10"/>
  <c r="E24" i="10" s="1"/>
  <c r="D25" i="10"/>
  <c r="D26" i="10"/>
  <c r="D27" i="10"/>
  <c r="D28" i="10"/>
  <c r="D29" i="10"/>
  <c r="D30" i="10"/>
  <c r="D31" i="10"/>
  <c r="E31" i="10" s="1"/>
  <c r="D32" i="10"/>
  <c r="E32" i="10" s="1"/>
  <c r="D33" i="10"/>
  <c r="D34" i="10"/>
  <c r="D35" i="10"/>
  <c r="D36" i="10"/>
  <c r="D37" i="10"/>
  <c r="E37" i="10" s="1"/>
  <c r="D38" i="10"/>
  <c r="E38" i="10" s="1"/>
  <c r="D39" i="10"/>
  <c r="D40" i="10"/>
  <c r="D41" i="10"/>
  <c r="D42" i="10"/>
  <c r="D43" i="10"/>
  <c r="E43" i="10" s="1"/>
  <c r="D44" i="10"/>
  <c r="E44" i="10" s="1"/>
  <c r="D45" i="10"/>
  <c r="D46" i="10"/>
  <c r="D47" i="10"/>
  <c r="D48" i="10"/>
  <c r="D49" i="10"/>
  <c r="D50" i="10"/>
  <c r="D51" i="10"/>
  <c r="E51" i="10" s="1"/>
  <c r="D52" i="10"/>
  <c r="E52" i="10" s="1"/>
  <c r="D53" i="10"/>
  <c r="D54" i="10"/>
  <c r="D55" i="10"/>
  <c r="D56" i="10"/>
  <c r="D57" i="10"/>
  <c r="E57" i="10" s="1"/>
  <c r="D58" i="10"/>
  <c r="E58" i="10" s="1"/>
  <c r="D59" i="10"/>
  <c r="D60" i="10"/>
  <c r="D61" i="10"/>
  <c r="D62" i="10"/>
  <c r="D63" i="10"/>
  <c r="E63" i="10" s="1"/>
  <c r="D64" i="10"/>
  <c r="E64" i="10" s="1"/>
  <c r="D65" i="10"/>
  <c r="D66" i="10"/>
  <c r="D67" i="10"/>
  <c r="D68" i="10"/>
  <c r="D69" i="10"/>
  <c r="D70" i="10"/>
  <c r="D71" i="10"/>
  <c r="E71" i="10" s="1"/>
  <c r="D72" i="10"/>
  <c r="E72" i="10" s="1"/>
  <c r="D73" i="10"/>
  <c r="D74" i="10"/>
  <c r="D75" i="10"/>
  <c r="D76" i="10"/>
  <c r="D77" i="10"/>
  <c r="E77" i="10" s="1"/>
  <c r="D78" i="10"/>
  <c r="E78" i="10" s="1"/>
  <c r="D79" i="10"/>
  <c r="D80" i="10"/>
  <c r="D81" i="10"/>
  <c r="D82" i="10"/>
  <c r="D83" i="10"/>
  <c r="E83" i="10" s="1"/>
  <c r="D84" i="10"/>
  <c r="E84" i="10" s="1"/>
  <c r="D85" i="10"/>
  <c r="D86" i="10"/>
  <c r="D87" i="10"/>
  <c r="D88" i="10"/>
  <c r="D89" i="10"/>
  <c r="D90" i="10"/>
  <c r="D91" i="10"/>
  <c r="E91" i="10" s="1"/>
  <c r="D92" i="10"/>
  <c r="E92" i="10" s="1"/>
  <c r="D93" i="10"/>
  <c r="D94" i="10"/>
  <c r="D95" i="10"/>
  <c r="D96" i="10"/>
  <c r="D97" i="10"/>
  <c r="E97" i="10" s="1"/>
  <c r="D98" i="10"/>
  <c r="E98" i="10" s="1"/>
  <c r="D99" i="10"/>
  <c r="D100" i="10"/>
  <c r="D101" i="10"/>
  <c r="D102" i="10"/>
  <c r="D103" i="10"/>
  <c r="E103" i="10" s="1"/>
  <c r="D104" i="10"/>
  <c r="E104" i="10" s="1"/>
  <c r="D105" i="10"/>
  <c r="D106" i="10"/>
  <c r="D107" i="10"/>
  <c r="D108" i="10"/>
  <c r="D109" i="10"/>
  <c r="D110" i="10"/>
  <c r="D111" i="10"/>
  <c r="E111" i="10" s="1"/>
  <c r="D112" i="10"/>
  <c r="E112" i="10" s="1"/>
  <c r="D113" i="10"/>
  <c r="D114" i="10"/>
  <c r="D115" i="10"/>
  <c r="D116" i="10"/>
  <c r="D117" i="10"/>
  <c r="E117" i="10" s="1"/>
  <c r="D118" i="10"/>
  <c r="E118" i="10" s="1"/>
  <c r="D119" i="10"/>
  <c r="D120" i="10"/>
  <c r="D121" i="10"/>
  <c r="D122" i="10"/>
  <c r="D123" i="10"/>
  <c r="E123" i="10" s="1"/>
  <c r="D124" i="10"/>
  <c r="E124" i="10" s="1"/>
  <c r="D125" i="10"/>
  <c r="D126" i="10"/>
  <c r="D127" i="10"/>
  <c r="D128" i="10"/>
  <c r="D129" i="10"/>
  <c r="D130" i="10"/>
  <c r="D131" i="10"/>
  <c r="E131" i="10" s="1"/>
  <c r="D132" i="10"/>
  <c r="E132" i="10" s="1"/>
  <c r="D133" i="10"/>
  <c r="D134" i="10"/>
  <c r="D135" i="10"/>
  <c r="D136" i="10"/>
  <c r="D137" i="10"/>
  <c r="E137" i="10" s="1"/>
  <c r="D138" i="10"/>
  <c r="E138" i="10" s="1"/>
  <c r="D139" i="10"/>
  <c r="D140" i="10"/>
  <c r="D141" i="10"/>
  <c r="D142" i="10"/>
  <c r="D143" i="10"/>
  <c r="E143" i="10" s="1"/>
  <c r="D144" i="10"/>
  <c r="E144" i="10" s="1"/>
  <c r="D145" i="10"/>
  <c r="D146" i="10"/>
  <c r="D147" i="10"/>
  <c r="D148" i="10"/>
  <c r="D149" i="10"/>
  <c r="D150" i="10"/>
  <c r="D151" i="10"/>
  <c r="E151" i="10" s="1"/>
  <c r="D152" i="10"/>
  <c r="E152" i="10" s="1"/>
  <c r="D153" i="10"/>
  <c r="D154" i="10"/>
  <c r="D155" i="10"/>
  <c r="D156" i="10"/>
  <c r="D157" i="10"/>
  <c r="E157" i="10" s="1"/>
  <c r="D158" i="10"/>
  <c r="E158" i="10" s="1"/>
  <c r="D159" i="10"/>
  <c r="D160" i="10"/>
  <c r="D161" i="10"/>
  <c r="E161" i="10" s="1"/>
  <c r="D162" i="10"/>
  <c r="D163" i="10"/>
  <c r="E163" i="10" s="1"/>
  <c r="D164" i="10"/>
  <c r="E164" i="10" s="1"/>
  <c r="D165" i="10"/>
  <c r="D166" i="10"/>
  <c r="D167" i="10"/>
  <c r="D168" i="10"/>
  <c r="D169" i="10"/>
  <c r="D170" i="10"/>
  <c r="D171" i="10"/>
  <c r="E171" i="10" s="1"/>
  <c r="D172" i="10"/>
  <c r="E172" i="10" s="1"/>
  <c r="D173" i="10"/>
  <c r="D174" i="10"/>
  <c r="D175" i="10"/>
  <c r="D176" i="10"/>
  <c r="D177" i="10"/>
  <c r="E177" i="10" s="1"/>
  <c r="D178" i="10"/>
  <c r="E178" i="10" s="1"/>
  <c r="D179" i="10"/>
  <c r="D180" i="10"/>
  <c r="D181" i="10"/>
  <c r="D182" i="10"/>
  <c r="D183" i="10"/>
  <c r="E183" i="10" s="1"/>
  <c r="D184" i="10"/>
  <c r="E184" i="10" s="1"/>
  <c r="D185" i="10"/>
  <c r="D186" i="10"/>
  <c r="D187" i="10"/>
  <c r="D188" i="10"/>
  <c r="D189" i="10"/>
  <c r="D190" i="10"/>
  <c r="D191" i="10"/>
  <c r="E191" i="10" s="1"/>
  <c r="D192" i="10"/>
  <c r="E192" i="10" s="1"/>
  <c r="D193" i="10"/>
  <c r="D194" i="10"/>
  <c r="D195" i="10"/>
  <c r="D196" i="10"/>
  <c r="D197" i="10"/>
  <c r="E197" i="10" s="1"/>
  <c r="D198" i="10"/>
  <c r="E198" i="10" s="1"/>
  <c r="D199" i="10"/>
  <c r="D200" i="10"/>
  <c r="D201" i="10"/>
  <c r="D202" i="10"/>
  <c r="D203" i="10"/>
  <c r="E203" i="10" s="1"/>
  <c r="D204" i="10"/>
  <c r="E204" i="10" s="1"/>
  <c r="D205" i="10"/>
  <c r="D206" i="10"/>
  <c r="D207" i="10"/>
  <c r="D208" i="10"/>
  <c r="D209" i="10"/>
  <c r="D210" i="10"/>
  <c r="D211" i="10"/>
  <c r="E211" i="10" s="1"/>
  <c r="D212" i="10"/>
  <c r="E212" i="10" s="1"/>
  <c r="D213" i="10"/>
  <c r="D214" i="10"/>
  <c r="D215" i="10"/>
  <c r="D216" i="10"/>
  <c r="D217" i="10"/>
  <c r="E217" i="10" s="1"/>
  <c r="D218" i="10"/>
  <c r="E218" i="10" s="1"/>
  <c r="D219" i="10"/>
  <c r="D220" i="10"/>
  <c r="E220" i="10" s="1"/>
  <c r="D221" i="10"/>
  <c r="D222" i="10"/>
  <c r="D223" i="10"/>
  <c r="E223" i="10" s="1"/>
  <c r="D224" i="10"/>
  <c r="E224" i="10" s="1"/>
  <c r="D225" i="10"/>
  <c r="D226" i="10"/>
  <c r="D227" i="10"/>
  <c r="D228" i="10"/>
  <c r="D229" i="10"/>
  <c r="D230" i="10"/>
  <c r="D231" i="10"/>
  <c r="E231" i="10" s="1"/>
  <c r="D232" i="10"/>
  <c r="E232" i="10" s="1"/>
  <c r="D233" i="10"/>
  <c r="D234" i="10"/>
  <c r="D235" i="10"/>
  <c r="D236" i="10"/>
  <c r="D237" i="10"/>
  <c r="E237" i="10" s="1"/>
  <c r="D238" i="10"/>
  <c r="E238" i="10" s="1"/>
  <c r="D239" i="10"/>
  <c r="D2" i="10"/>
  <c r="C3" i="10"/>
  <c r="C4" i="10"/>
  <c r="C5" i="10"/>
  <c r="C6" i="10"/>
  <c r="C7" i="10"/>
  <c r="C8" i="10"/>
  <c r="C9" i="10"/>
  <c r="C10" i="10"/>
  <c r="C11" i="10"/>
  <c r="C12" i="10"/>
  <c r="C13" i="10"/>
  <c r="C14" i="10"/>
  <c r="C15" i="10"/>
  <c r="C16" i="10"/>
  <c r="C17" i="10"/>
  <c r="C18" i="10"/>
  <c r="C19" i="10"/>
  <c r="C20" i="10"/>
  <c r="C21" i="10"/>
  <c r="C22" i="10"/>
  <c r="C23" i="10"/>
  <c r="C24" i="10"/>
  <c r="C25" i="10"/>
  <c r="C26" i="10"/>
  <c r="C27" i="10"/>
  <c r="C28" i="10"/>
  <c r="C29" i="10"/>
  <c r="C30" i="10"/>
  <c r="C31" i="10"/>
  <c r="C32" i="10"/>
  <c r="C33" i="10"/>
  <c r="C34" i="10"/>
  <c r="C35" i="10"/>
  <c r="C36" i="10"/>
  <c r="C37" i="10"/>
  <c r="C38" i="10"/>
  <c r="C39" i="10"/>
  <c r="C40" i="10"/>
  <c r="C41" i="10"/>
  <c r="C42" i="10"/>
  <c r="C43" i="10"/>
  <c r="C44" i="10"/>
  <c r="C45" i="10"/>
  <c r="C46" i="10"/>
  <c r="C47" i="10"/>
  <c r="C48" i="10"/>
  <c r="C49" i="10"/>
  <c r="C50" i="10"/>
  <c r="C51" i="10"/>
  <c r="C52" i="10"/>
  <c r="C53" i="10"/>
  <c r="C54" i="10"/>
  <c r="C55" i="10"/>
  <c r="C56" i="10"/>
  <c r="C57" i="10"/>
  <c r="C58" i="10"/>
  <c r="C59" i="10"/>
  <c r="C60" i="10"/>
  <c r="C61" i="10"/>
  <c r="C62" i="10"/>
  <c r="C63" i="10"/>
  <c r="C64" i="10"/>
  <c r="C65" i="10"/>
  <c r="C66" i="10"/>
  <c r="C67" i="10"/>
  <c r="C68" i="10"/>
  <c r="C69" i="10"/>
  <c r="C70" i="10"/>
  <c r="C71" i="10"/>
  <c r="C72" i="10"/>
  <c r="C73" i="10"/>
  <c r="C74" i="10"/>
  <c r="C75" i="10"/>
  <c r="C76" i="10"/>
  <c r="C77" i="10"/>
  <c r="C78" i="10"/>
  <c r="C79" i="10"/>
  <c r="C80" i="10"/>
  <c r="C81" i="10"/>
  <c r="C82" i="10"/>
  <c r="C83" i="10"/>
  <c r="C84" i="10"/>
  <c r="C85" i="10"/>
  <c r="C86" i="10"/>
  <c r="C87" i="10"/>
  <c r="C88" i="10"/>
  <c r="C89" i="10"/>
  <c r="C90" i="10"/>
  <c r="C91" i="10"/>
  <c r="C92" i="10"/>
  <c r="C93" i="10"/>
  <c r="C94" i="10"/>
  <c r="C95" i="10"/>
  <c r="C96" i="10"/>
  <c r="C97" i="10"/>
  <c r="C98" i="10"/>
  <c r="C99" i="10"/>
  <c r="C100" i="10"/>
  <c r="C101" i="10"/>
  <c r="C102" i="10"/>
  <c r="C103" i="10"/>
  <c r="C104" i="10"/>
  <c r="C105" i="10"/>
  <c r="C106" i="10"/>
  <c r="C107" i="10"/>
  <c r="C108" i="10"/>
  <c r="C109" i="10"/>
  <c r="C110" i="10"/>
  <c r="C111" i="10"/>
  <c r="C112" i="10"/>
  <c r="C113" i="10"/>
  <c r="C114" i="10"/>
  <c r="C115" i="10"/>
  <c r="C116" i="10"/>
  <c r="C117" i="10"/>
  <c r="C118" i="10"/>
  <c r="C119" i="10"/>
  <c r="C120" i="10"/>
  <c r="C121" i="10"/>
  <c r="C122" i="10"/>
  <c r="C123" i="10"/>
  <c r="C124" i="10"/>
  <c r="C125" i="10"/>
  <c r="C126" i="10"/>
  <c r="C127" i="10"/>
  <c r="C128" i="10"/>
  <c r="C129" i="10"/>
  <c r="C130" i="10"/>
  <c r="C131" i="10"/>
  <c r="C132" i="10"/>
  <c r="C133" i="10"/>
  <c r="C134" i="10"/>
  <c r="C135" i="10"/>
  <c r="C136" i="10"/>
  <c r="C137" i="10"/>
  <c r="C138" i="10"/>
  <c r="C139" i="10"/>
  <c r="C140" i="10"/>
  <c r="C141" i="10"/>
  <c r="C142" i="10"/>
  <c r="C143" i="10"/>
  <c r="C144" i="10"/>
  <c r="C145" i="10"/>
  <c r="C146" i="10"/>
  <c r="C147" i="10"/>
  <c r="C148" i="10"/>
  <c r="C149" i="10"/>
  <c r="C150" i="10"/>
  <c r="C151" i="10"/>
  <c r="C152" i="10"/>
  <c r="C153" i="10"/>
  <c r="C154" i="10"/>
  <c r="C155" i="10"/>
  <c r="C156" i="10"/>
  <c r="C157" i="10"/>
  <c r="C158" i="10"/>
  <c r="C159" i="10"/>
  <c r="C160" i="10"/>
  <c r="C161" i="10"/>
  <c r="C162" i="10"/>
  <c r="C163" i="10"/>
  <c r="C164" i="10"/>
  <c r="C165" i="10"/>
  <c r="C166" i="10"/>
  <c r="C167" i="10"/>
  <c r="C168" i="10"/>
  <c r="C169" i="10"/>
  <c r="C170" i="10"/>
  <c r="C171" i="10"/>
  <c r="C172" i="10"/>
  <c r="C173" i="10"/>
  <c r="C174" i="10"/>
  <c r="C175" i="10"/>
  <c r="C176" i="10"/>
  <c r="C177" i="10"/>
  <c r="C178" i="10"/>
  <c r="C179" i="10"/>
  <c r="C180" i="10"/>
  <c r="C181" i="10"/>
  <c r="C182" i="10"/>
  <c r="C183" i="10"/>
  <c r="C184" i="10"/>
  <c r="C185" i="10"/>
  <c r="C186" i="10"/>
  <c r="C187" i="10"/>
  <c r="C188" i="10"/>
  <c r="C189" i="10"/>
  <c r="C190" i="10"/>
  <c r="C191" i="10"/>
  <c r="C192" i="10"/>
  <c r="C193" i="10"/>
  <c r="C194" i="10"/>
  <c r="C195" i="10"/>
  <c r="C196" i="10"/>
  <c r="C197" i="10"/>
  <c r="C198" i="10"/>
  <c r="C199" i="10"/>
  <c r="C200" i="10"/>
  <c r="C201" i="10"/>
  <c r="C202" i="10"/>
  <c r="C203" i="10"/>
  <c r="C204" i="10"/>
  <c r="C205" i="10"/>
  <c r="C206" i="10"/>
  <c r="C207" i="10"/>
  <c r="C208" i="10"/>
  <c r="C209" i="10"/>
  <c r="C210" i="10"/>
  <c r="C211" i="10"/>
  <c r="C212" i="10"/>
  <c r="C213" i="10"/>
  <c r="C214" i="10"/>
  <c r="C215" i="10"/>
  <c r="C216" i="10"/>
  <c r="C217" i="10"/>
  <c r="C218" i="10"/>
  <c r="C219" i="10"/>
  <c r="C220" i="10"/>
  <c r="C221" i="10"/>
  <c r="C222" i="10"/>
  <c r="C223" i="10"/>
  <c r="C224" i="10"/>
  <c r="C225" i="10"/>
  <c r="C226" i="10"/>
  <c r="C227" i="10"/>
  <c r="C228" i="10"/>
  <c r="C229" i="10"/>
  <c r="C230" i="10"/>
  <c r="C231" i="10"/>
  <c r="C232" i="10"/>
  <c r="C233" i="10"/>
  <c r="C234" i="10"/>
  <c r="C235" i="10"/>
  <c r="C236" i="10"/>
  <c r="C237" i="10"/>
  <c r="C238" i="10"/>
  <c r="C239" i="10"/>
  <c r="C2" i="10"/>
</calcChain>
</file>

<file path=xl/sharedStrings.xml><?xml version="1.0" encoding="utf-8"?>
<sst xmlns="http://schemas.openxmlformats.org/spreadsheetml/2006/main" count="5" uniqueCount="5">
  <si>
    <t>date</t>
  </si>
  <si>
    <t>factor</t>
  </si>
  <si>
    <t>square</t>
  </si>
  <si>
    <t>vol</t>
  </si>
  <si>
    <t>z-score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</si>
</sst>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5" formatCode="[$-409]mmm\-yy;@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name val="Arial"/>
      <family val="2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2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23">
    <xf numFmtId="0" fontId="0" fillId="0" borderId="0" xfId="0"/>
    <xf numFmtId="0" fontId="2" fillId="0" borderId="0" xfId="0" applyFont="1" applyAlignment="1">
      <alignment horizontal="center" vertical="center"/>
    </xf>
    <xf numFmtId="4" fontId="2" fillId="0" borderId="0" xfId="0" applyNumberFormat="1" applyFont="1" applyAlignment="1">
      <alignment horizontal="center" vertical="center"/>
    </xf>
    <xf numFmtId="4" fontId="2" fillId="0" borderId="0" xfId="1" applyNumberFormat="1" applyFont="1" applyAlignment="1">
      <alignment horizontal="center" vertical="center"/>
    </xf>
    <xf numFmtId="165" fontId="2" fillId="0" borderId="0" xfId="0" applyNumberFormat="1" applyFont="1" applyAlignment="1">
      <alignment horizontal="center" vertical="center"/>
    </xf>
    <xf numFmtId="4" fontId="2" fillId="0" borderId="3" xfId="0" applyNumberFormat="1" applyFont="1" applyBorder="1" applyAlignment="1">
      <alignment horizontal="center" vertical="center"/>
    </xf>
    <xf numFmtId="4" fontId="2" fillId="0" borderId="4" xfId="0" applyNumberFormat="1" applyFont="1" applyBorder="1" applyAlignment="1">
      <alignment horizontal="center" vertical="center"/>
    </xf>
    <xf numFmtId="4" fontId="2" fillId="0" borderId="3" xfId="1" applyNumberFormat="1" applyFont="1" applyBorder="1" applyAlignment="1">
      <alignment horizontal="center" vertical="center"/>
    </xf>
    <xf numFmtId="4" fontId="2" fillId="0" borderId="0" xfId="1" applyNumberFormat="1" applyFont="1" applyBorder="1" applyAlignment="1">
      <alignment horizontal="center" vertical="center"/>
    </xf>
    <xf numFmtId="4" fontId="2" fillId="0" borderId="4" xfId="1" applyNumberFormat="1" applyFont="1" applyBorder="1" applyAlignment="1">
      <alignment horizontal="center" vertical="center"/>
    </xf>
    <xf numFmtId="4" fontId="2" fillId="0" borderId="5" xfId="1" applyNumberFormat="1" applyFont="1" applyBorder="1" applyAlignment="1">
      <alignment horizontal="center" vertical="center"/>
    </xf>
    <xf numFmtId="4" fontId="2" fillId="0" borderId="8" xfId="1" applyNumberFormat="1" applyFont="1" applyBorder="1" applyAlignment="1">
      <alignment horizontal="center" vertical="center"/>
    </xf>
    <xf numFmtId="4" fontId="2" fillId="0" borderId="6" xfId="1" applyNumberFormat="1" applyFont="1" applyBorder="1" applyAlignment="1">
      <alignment horizontal="center" vertical="center"/>
    </xf>
    <xf numFmtId="165" fontId="2" fillId="0" borderId="9" xfId="0" applyNumberFormat="1" applyFont="1" applyBorder="1" applyAlignment="1">
      <alignment horizontal="center" vertical="center"/>
    </xf>
    <xf numFmtId="165" fontId="2" fillId="0" borderId="10" xfId="0" applyNumberFormat="1" applyFont="1" applyBorder="1" applyAlignment="1">
      <alignment horizontal="center" vertical="center"/>
    </xf>
    <xf numFmtId="4" fontId="2" fillId="0" borderId="1" xfId="0" applyNumberFormat="1" applyFont="1" applyBorder="1" applyAlignment="1">
      <alignment horizontal="center" vertical="center"/>
    </xf>
    <xf numFmtId="4" fontId="2" fillId="0" borderId="7" xfId="0" applyNumberFormat="1" applyFont="1" applyBorder="1" applyAlignment="1">
      <alignment horizontal="center" vertical="center"/>
    </xf>
    <xf numFmtId="4" fontId="2" fillId="0" borderId="2" xfId="0" applyNumberFormat="1" applyFont="1" applyBorder="1" applyAlignment="1">
      <alignment horizontal="center" vertical="center"/>
    </xf>
    <xf numFmtId="165" fontId="2" fillId="0" borderId="11" xfId="0" applyNumberFormat="1" applyFont="1" applyBorder="1" applyAlignment="1">
      <alignment horizontal="center" vertical="center" wrapText="1"/>
    </xf>
    <xf numFmtId="4" fontId="2" fillId="0" borderId="1" xfId="0" applyNumberFormat="1" applyFont="1" applyBorder="1" applyAlignment="1">
      <alignment horizontal="center" vertical="center" wrapText="1"/>
    </xf>
    <xf numFmtId="4" fontId="2" fillId="0" borderId="7" xfId="0" applyNumberFormat="1" applyFont="1" applyBorder="1" applyAlignment="1">
      <alignment horizontal="center" vertical="center" wrapText="1"/>
    </xf>
    <xf numFmtId="4" fontId="2" fillId="0" borderId="2" xfId="0" applyNumberFormat="1" applyFont="1" applyBorder="1" applyAlignment="1">
      <alignment horizontal="center" vertical="center" wrapText="1"/>
    </xf>
    <xf numFmtId="4" fontId="2" fillId="0" borderId="0" xfId="0" applyNumberFormat="1" applyFont="1" applyBorder="1" applyAlignment="1">
      <alignment horizontal="center" vertical="center"/>
    </xf>
  </cellXfs>
  <cellStyles count="2">
    <cellStyle name="Normal" xfId="0" builtinId="0"/>
    <cellStyle name="Per 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E648"/>
  <sheetViews>
    <sheetView showGridLines="0" tabSelected="1" workbookViewId="0"/>
  </sheetViews>
  <sheetFormatPr defaultColWidth="10.7109375" defaultRowHeight="9.9499999999999993" customHeight="1" x14ac:dyDescent="0.25"/>
  <cols>
    <col min="1" max="1" width="10.7109375" style="4" customWidth="1"/>
    <col min="2" max="3" width="10.7109375" style="2" customWidth="1"/>
    <col min="4" max="5" width="10.7109375" style="2"/>
    <col min="6" max="16384" width="10.7109375" style="1"/>
  </cols>
  <sheetData>
    <row r="1" spans="1:5" ht="9.9499999999999993" customHeight="1" x14ac:dyDescent="0.25">
      <c r="A1" s="18" t="s">
        <v>0</v>
      </c>
      <c r="B1" s="19" t="s">
        <v>1</v>
      </c>
      <c r="C1" s="20" t="s">
        <v>2</v>
      </c>
      <c r="D1" s="20" t="s">
        <v>3</v>
      </c>
      <c r="E1" s="21" t="s">
        <v>4</v>
      </c>
    </row>
    <row r="2" spans="1:5" ht="9.9499999999999993" customHeight="1" x14ac:dyDescent="0.25">
      <c r="A2" s="13">
        <v>38383</v>
      </c>
      <c r="B2" s="15">
        <v>0.50221237507405547</v>
      </c>
      <c r="C2" s="16">
        <f>B2^2</f>
        <v>0.25221726967752378</v>
      </c>
      <c r="D2" s="16">
        <f>SQRT(AVERAGE(C$2:C2))</f>
        <v>0.50221237507405547</v>
      </c>
      <c r="E2" s="17">
        <f>B2/D2</f>
        <v>1</v>
      </c>
    </row>
    <row r="3" spans="1:5" ht="9.9499999999999993" customHeight="1" x14ac:dyDescent="0.25">
      <c r="A3" s="13">
        <v>38411</v>
      </c>
      <c r="B3" s="5">
        <v>1.9824501972223809</v>
      </c>
      <c r="C3" s="22">
        <f t="shared" ref="C3:C66" si="0">B3^2</f>
        <v>3.9301087844670568</v>
      </c>
      <c r="D3" s="22">
        <f>SQRT(AVERAGE(C$2:C3))</f>
        <v>1.4460854148605089</v>
      </c>
      <c r="E3" s="6">
        <f t="shared" ref="E3:E66" si="1">B3/D3</f>
        <v>1.3709080921845895</v>
      </c>
    </row>
    <row r="4" spans="1:5" ht="9.9499999999999993" customHeight="1" x14ac:dyDescent="0.25">
      <c r="A4" s="13">
        <v>38442</v>
      </c>
      <c r="B4" s="5">
        <v>-0.91439269080298868</v>
      </c>
      <c r="C4" s="22">
        <f t="shared" si="0"/>
        <v>0.83611399299393008</v>
      </c>
      <c r="D4" s="22">
        <f>SQRT(AVERAGE(C$2:C4))</f>
        <v>1.2933728577042933</v>
      </c>
      <c r="E4" s="6">
        <f t="shared" si="1"/>
        <v>-0.70698305237827119</v>
      </c>
    </row>
    <row r="5" spans="1:5" ht="9.9499999999999993" customHeight="1" x14ac:dyDescent="0.25">
      <c r="A5" s="13">
        <v>38472</v>
      </c>
      <c r="B5" s="5">
        <v>2.8758639283333221</v>
      </c>
      <c r="C5" s="22">
        <f t="shared" si="0"/>
        <v>8.2705933342887672</v>
      </c>
      <c r="D5" s="22">
        <f>SQRT(AVERAGE(C$2:C5))</f>
        <v>1.8227063244957535</v>
      </c>
      <c r="E5" s="6">
        <f t="shared" si="1"/>
        <v>1.5777988421304905</v>
      </c>
    </row>
    <row r="6" spans="1:5" ht="9.9499999999999993" customHeight="1" x14ac:dyDescent="0.25">
      <c r="A6" s="13">
        <v>38503</v>
      </c>
      <c r="B6" s="5">
        <v>-0.80422910196934949</v>
      </c>
      <c r="C6" s="22">
        <f t="shared" si="0"/>
        <v>0.6467844484544264</v>
      </c>
      <c r="D6" s="22">
        <f>SQRT(AVERAGE(C$2:C6))</f>
        <v>1.6694800286245837</v>
      </c>
      <c r="E6" s="6">
        <f t="shared" si="1"/>
        <v>-0.48172430228585661</v>
      </c>
    </row>
    <row r="7" spans="1:5" ht="9.9499999999999993" customHeight="1" x14ac:dyDescent="0.25">
      <c r="A7" s="13">
        <v>38533</v>
      </c>
      <c r="B7" s="5">
        <v>2.8208139342895908</v>
      </c>
      <c r="C7" s="22">
        <f t="shared" si="0"/>
        <v>7.9569912518823198</v>
      </c>
      <c r="D7" s="22">
        <f>SQRT(AVERAGE(C$2:C7))</f>
        <v>1.9101836334832671</v>
      </c>
      <c r="E7" s="6">
        <f t="shared" si="1"/>
        <v>1.4767239572384812</v>
      </c>
    </row>
    <row r="8" spans="1:5" ht="9.9499999999999993" customHeight="1" x14ac:dyDescent="0.25">
      <c r="A8" s="13">
        <v>38564</v>
      </c>
      <c r="B8" s="5">
        <v>1.6083660723897131</v>
      </c>
      <c r="C8" s="22">
        <f t="shared" si="0"/>
        <v>2.5868414228143117</v>
      </c>
      <c r="D8" s="22">
        <f>SQRT(AVERAGE(C$2:C8))</f>
        <v>1.8700515846429147</v>
      </c>
      <c r="E8" s="6">
        <f t="shared" si="1"/>
        <v>0.86006508355053191</v>
      </c>
    </row>
    <row r="9" spans="1:5" ht="9.9499999999999993" customHeight="1" x14ac:dyDescent="0.25">
      <c r="A9" s="13">
        <v>38595</v>
      </c>
      <c r="B9" s="5">
        <v>0.9996130733699139</v>
      </c>
      <c r="C9" s="22">
        <f t="shared" si="0"/>
        <v>0.99922629645204486</v>
      </c>
      <c r="D9" s="22">
        <f>SQRT(AVERAGE(C$2:C9))</f>
        <v>1.784617494066669</v>
      </c>
      <c r="E9" s="6">
        <f t="shared" si="1"/>
        <v>0.56012735316858364</v>
      </c>
    </row>
    <row r="10" spans="1:5" ht="9.9499999999999993" customHeight="1" x14ac:dyDescent="0.25">
      <c r="A10" s="13">
        <v>38625</v>
      </c>
      <c r="B10" s="5">
        <v>1.063363660831403</v>
      </c>
      <c r="C10" s="22">
        <f t="shared" si="0"/>
        <v>1.1307422751767631</v>
      </c>
      <c r="D10" s="22">
        <f>SQRT(AVERAGE(C$2:C10))</f>
        <v>1.7194837428137533</v>
      </c>
      <c r="E10" s="6">
        <f t="shared" si="1"/>
        <v>0.61842030509187651</v>
      </c>
    </row>
    <row r="11" spans="1:5" ht="9.9499999999999993" customHeight="1" x14ac:dyDescent="0.25">
      <c r="A11" s="13">
        <v>38656</v>
      </c>
      <c r="B11" s="5">
        <v>1.7433053992260381</v>
      </c>
      <c r="C11" s="22">
        <f t="shared" si="0"/>
        <v>3.039113714970656</v>
      </c>
      <c r="D11" s="22">
        <f>SQRT(AVERAGE(C$2:C11))</f>
        <v>1.721880738935708</v>
      </c>
      <c r="E11" s="6">
        <f t="shared" si="1"/>
        <v>1.0124425924547902</v>
      </c>
    </row>
    <row r="12" spans="1:5" ht="9.9499999999999993" customHeight="1" x14ac:dyDescent="0.25">
      <c r="A12" s="13">
        <v>38686</v>
      </c>
      <c r="B12" s="5">
        <v>1.771379894493132</v>
      </c>
      <c r="C12" s="22">
        <f t="shared" si="0"/>
        <v>3.1377867306144998</v>
      </c>
      <c r="D12" s="22">
        <f>SQRT(AVERAGE(C$2:C12))</f>
        <v>1.7264393078817744</v>
      </c>
      <c r="E12" s="6">
        <f t="shared" si="1"/>
        <v>1.0260307943674527</v>
      </c>
    </row>
    <row r="13" spans="1:5" ht="9.9499999999999993" customHeight="1" x14ac:dyDescent="0.25">
      <c r="A13" s="13">
        <v>38717</v>
      </c>
      <c r="B13" s="5">
        <v>0.8344871139055966</v>
      </c>
      <c r="C13" s="22">
        <f t="shared" si="0"/>
        <v>0.69636874327449216</v>
      </c>
      <c r="D13" s="22">
        <f>SQRT(AVERAGE(C$2:C13))</f>
        <v>1.6704013555895978</v>
      </c>
      <c r="E13" s="6">
        <f t="shared" si="1"/>
        <v>0.49957281889959287</v>
      </c>
    </row>
    <row r="14" spans="1:5" ht="9.9499999999999993" customHeight="1" x14ac:dyDescent="0.25">
      <c r="A14" s="13">
        <v>38748</v>
      </c>
      <c r="B14" s="5">
        <v>3.7215876943281532</v>
      </c>
      <c r="C14" s="22">
        <f t="shared" si="0"/>
        <v>13.85021496657474</v>
      </c>
      <c r="D14" s="22">
        <f>SQRT(AVERAGE(C$2:C14))</f>
        <v>1.9081425368392957</v>
      </c>
      <c r="E14" s="6">
        <f t="shared" si="1"/>
        <v>1.9503719572714426</v>
      </c>
    </row>
    <row r="15" spans="1:5" ht="9.9499999999999993" customHeight="1" x14ac:dyDescent="0.25">
      <c r="A15" s="13">
        <v>38776</v>
      </c>
      <c r="B15" s="5">
        <v>-9.6714456421970407E-2</v>
      </c>
      <c r="C15" s="22">
        <f t="shared" si="0"/>
        <v>9.3536860809972124E-3</v>
      </c>
      <c r="D15" s="22">
        <f>SQRT(AVERAGE(C$2:C15))</f>
        <v>1.8389138276579491</v>
      </c>
      <c r="E15" s="6">
        <f t="shared" si="1"/>
        <v>-5.2593250954639063E-2</v>
      </c>
    </row>
    <row r="16" spans="1:5" ht="9.9499999999999993" customHeight="1" x14ac:dyDescent="0.25">
      <c r="A16" s="13">
        <v>38807</v>
      </c>
      <c r="B16" s="5">
        <v>2.806378485237615</v>
      </c>
      <c r="C16" s="22">
        <f t="shared" si="0"/>
        <v>7.875760202404571</v>
      </c>
      <c r="D16" s="22">
        <f>SQRT(AVERAGE(C$2:C16))</f>
        <v>1.9186491275569746</v>
      </c>
      <c r="E16" s="6">
        <f t="shared" si="1"/>
        <v>1.4626845757936944</v>
      </c>
    </row>
    <row r="17" spans="1:5" ht="9.9499999999999993" customHeight="1" x14ac:dyDescent="0.25">
      <c r="A17" s="13">
        <v>38837</v>
      </c>
      <c r="B17" s="5">
        <v>-0.53103227140989762</v>
      </c>
      <c r="C17" s="22">
        <f t="shared" si="0"/>
        <v>0.28199527327875518</v>
      </c>
      <c r="D17" s="22">
        <f>SQRT(AVERAGE(C$2:C17))</f>
        <v>1.8624616169435186</v>
      </c>
      <c r="E17" s="6">
        <f t="shared" si="1"/>
        <v>-0.28512387400572231</v>
      </c>
    </row>
    <row r="18" spans="1:5" ht="9.9499999999999993" customHeight="1" x14ac:dyDescent="0.25">
      <c r="A18" s="13">
        <v>38868</v>
      </c>
      <c r="B18" s="5">
        <v>0.22572612009534071</v>
      </c>
      <c r="C18" s="22">
        <f t="shared" si="0"/>
        <v>5.0952281293296174E-2</v>
      </c>
      <c r="D18" s="22">
        <f>SQRT(AVERAGE(C$2:C18))</f>
        <v>1.8076823750592774</v>
      </c>
      <c r="E18" s="6">
        <f t="shared" si="1"/>
        <v>0.12487045468258146</v>
      </c>
    </row>
    <row r="19" spans="1:5" ht="9.9499999999999993" customHeight="1" x14ac:dyDescent="0.25">
      <c r="A19" s="13">
        <v>38898</v>
      </c>
      <c r="B19" s="5">
        <v>0.25411582632069868</v>
      </c>
      <c r="C19" s="22">
        <f t="shared" si="0"/>
        <v>6.4574853186651501E-2</v>
      </c>
      <c r="D19" s="22">
        <f>SQRT(AVERAGE(C$2:C19))</f>
        <v>1.7577722568935847</v>
      </c>
      <c r="E19" s="6">
        <f t="shared" si="1"/>
        <v>0.14456697978029517</v>
      </c>
    </row>
    <row r="20" spans="1:5" ht="9.9499999999999993" customHeight="1" x14ac:dyDescent="0.25">
      <c r="A20" s="13">
        <v>38929</v>
      </c>
      <c r="B20" s="5">
        <v>-2.474817398002005</v>
      </c>
      <c r="C20" s="22">
        <f t="shared" si="0"/>
        <v>6.1247211534534145</v>
      </c>
      <c r="D20" s="22">
        <f>SQRT(AVERAGE(C$2:C20))</f>
        <v>1.8026363833554455</v>
      </c>
      <c r="E20" s="6">
        <f t="shared" si="1"/>
        <v>-1.3728877442245757</v>
      </c>
    </row>
    <row r="21" spans="1:5" ht="9.9499999999999993" customHeight="1" x14ac:dyDescent="0.25">
      <c r="A21" s="13">
        <v>38960</v>
      </c>
      <c r="B21" s="5">
        <v>3.262255862513054</v>
      </c>
      <c r="C21" s="22">
        <f t="shared" si="0"/>
        <v>10.642313312500789</v>
      </c>
      <c r="D21" s="22">
        <f>SQRT(AVERAGE(C$2:C21))</f>
        <v>1.9024034008832091</v>
      </c>
      <c r="E21" s="6">
        <f t="shared" si="1"/>
        <v>1.7148076275507709</v>
      </c>
    </row>
    <row r="22" spans="1:5" ht="9.9499999999999993" customHeight="1" x14ac:dyDescent="0.25">
      <c r="A22" s="13">
        <v>38990</v>
      </c>
      <c r="B22" s="5">
        <v>1.641873215108149</v>
      </c>
      <c r="C22" s="22">
        <f t="shared" si="0"/>
        <v>2.69574765448957</v>
      </c>
      <c r="D22" s="22">
        <f>SQRT(AVERAGE(C$2:C22))</f>
        <v>1.8908113860296862</v>
      </c>
      <c r="E22" s="6">
        <f t="shared" si="1"/>
        <v>0.86834320294407785</v>
      </c>
    </row>
    <row r="23" spans="1:5" ht="9.9499999999999993" customHeight="1" x14ac:dyDescent="0.25">
      <c r="A23" s="13">
        <v>39021</v>
      </c>
      <c r="B23" s="5">
        <v>-2.392477117234082</v>
      </c>
      <c r="C23" s="22">
        <f t="shared" si="0"/>
        <v>5.7239467564887034</v>
      </c>
      <c r="D23" s="22">
        <f>SQRT(AVERAGE(C$2:C23))</f>
        <v>1.9164653591824417</v>
      </c>
      <c r="E23" s="6">
        <f t="shared" si="1"/>
        <v>-1.2483800480770002</v>
      </c>
    </row>
    <row r="24" spans="1:5" ht="9.9499999999999993" customHeight="1" x14ac:dyDescent="0.25">
      <c r="A24" s="13">
        <v>39051</v>
      </c>
      <c r="B24" s="5">
        <v>2.5183303598556348</v>
      </c>
      <c r="C24" s="22">
        <f t="shared" si="0"/>
        <v>6.3419878013706112</v>
      </c>
      <c r="D24" s="22">
        <f>SQRT(AVERAGE(C$2:C24))</f>
        <v>1.9465069741126235</v>
      </c>
      <c r="E24" s="6">
        <f t="shared" si="1"/>
        <v>1.2937689889365513</v>
      </c>
    </row>
    <row r="25" spans="1:5" ht="9.9499999999999993" customHeight="1" x14ac:dyDescent="0.25">
      <c r="A25" s="13">
        <v>39082</v>
      </c>
      <c r="B25" s="5">
        <v>0.68017359445255821</v>
      </c>
      <c r="C25" s="22">
        <f t="shared" si="0"/>
        <v>0.46263611859051312</v>
      </c>
      <c r="D25" s="22">
        <f>SQRT(AVERAGE(C$2:C25))</f>
        <v>1.9105746553151162</v>
      </c>
      <c r="E25" s="6">
        <f t="shared" si="1"/>
        <v>0.35600471960640312</v>
      </c>
    </row>
    <row r="26" spans="1:5" ht="9.9499999999999993" customHeight="1" x14ac:dyDescent="0.25">
      <c r="A26" s="13">
        <v>39113</v>
      </c>
      <c r="B26" s="5">
        <v>-2.950990385933761</v>
      </c>
      <c r="C26" s="22">
        <f t="shared" si="0"/>
        <v>8.7083442578734882</v>
      </c>
      <c r="D26" s="22">
        <f>SQRT(AVERAGE(C$2:C26))</f>
        <v>1.9628085651194096</v>
      </c>
      <c r="E26" s="6">
        <f t="shared" si="1"/>
        <v>-1.5034529797633291</v>
      </c>
    </row>
    <row r="27" spans="1:5" ht="9.9499999999999993" customHeight="1" x14ac:dyDescent="0.25">
      <c r="A27" s="13">
        <v>39141</v>
      </c>
      <c r="B27" s="5">
        <v>0.61330091879792747</v>
      </c>
      <c r="C27" s="22">
        <f t="shared" si="0"/>
        <v>0.37613801699838201</v>
      </c>
      <c r="D27" s="22">
        <f>SQRT(AVERAGE(C$2:C27))</f>
        <v>1.928446710534466</v>
      </c>
      <c r="E27" s="6">
        <f t="shared" si="1"/>
        <v>0.31802845027952681</v>
      </c>
    </row>
    <row r="28" spans="1:5" ht="9.9499999999999993" customHeight="1" x14ac:dyDescent="0.25">
      <c r="A28" s="13">
        <v>39172</v>
      </c>
      <c r="B28" s="5">
        <v>4.1434959249293453</v>
      </c>
      <c r="C28" s="22">
        <f t="shared" si="0"/>
        <v>17.168558479906089</v>
      </c>
      <c r="D28" s="22">
        <f>SQRT(AVERAGE(C$2:C28))</f>
        <v>2.0535437579729172</v>
      </c>
      <c r="E28" s="6">
        <f t="shared" si="1"/>
        <v>2.0177295510953464</v>
      </c>
    </row>
    <row r="29" spans="1:5" ht="9.9499999999999993" customHeight="1" x14ac:dyDescent="0.25">
      <c r="A29" s="13">
        <v>39202</v>
      </c>
      <c r="B29" s="5">
        <v>-0.75419909796176077</v>
      </c>
      <c r="C29" s="22">
        <f t="shared" si="0"/>
        <v>0.56881627936633361</v>
      </c>
      <c r="D29" s="22">
        <f>SQRT(AVERAGE(C$2:C29))</f>
        <v>2.0215707238160459</v>
      </c>
      <c r="E29" s="6">
        <f t="shared" si="1"/>
        <v>-0.37307579154989268</v>
      </c>
    </row>
    <row r="30" spans="1:5" ht="9.9499999999999993" customHeight="1" x14ac:dyDescent="0.25">
      <c r="A30" s="13">
        <v>39233</v>
      </c>
      <c r="B30" s="5">
        <v>-0.69854388856934402</v>
      </c>
      <c r="C30" s="22">
        <f t="shared" si="0"/>
        <v>0.48796356425758008</v>
      </c>
      <c r="D30" s="22">
        <f>SQRT(AVERAGE(C$2:C30))</f>
        <v>1.9906411454013682</v>
      </c>
      <c r="E30" s="6">
        <f t="shared" si="1"/>
        <v>-0.35091402093394303</v>
      </c>
    </row>
    <row r="31" spans="1:5" ht="9.9499999999999993" customHeight="1" x14ac:dyDescent="0.25">
      <c r="A31" s="13">
        <v>39263</v>
      </c>
      <c r="B31" s="5">
        <v>0.77729163661111245</v>
      </c>
      <c r="C31" s="22">
        <f t="shared" si="0"/>
        <v>0.60418228834558163</v>
      </c>
      <c r="D31" s="22">
        <f>SQRT(AVERAGE(C$2:C31))</f>
        <v>1.9623208641090177</v>
      </c>
      <c r="E31" s="6">
        <f t="shared" si="1"/>
        <v>0.39610832806592916</v>
      </c>
    </row>
    <row r="32" spans="1:5" ht="9.9499999999999993" customHeight="1" x14ac:dyDescent="0.25">
      <c r="A32" s="13">
        <v>39294</v>
      </c>
      <c r="B32" s="5">
        <v>-2.4385272652538998</v>
      </c>
      <c r="C32" s="22">
        <f t="shared" si="0"/>
        <v>5.9464152233866638</v>
      </c>
      <c r="D32" s="22">
        <f>SQRT(AVERAGE(C$2:C32))</f>
        <v>1.9794713405914763</v>
      </c>
      <c r="E32" s="6">
        <f t="shared" si="1"/>
        <v>-1.2319083460563036</v>
      </c>
    </row>
    <row r="33" spans="1:5" ht="9.9499999999999993" customHeight="1" x14ac:dyDescent="0.25">
      <c r="A33" s="13">
        <v>39325</v>
      </c>
      <c r="B33" s="5">
        <v>-1.034038166640914</v>
      </c>
      <c r="C33" s="22">
        <f t="shared" si="0"/>
        <v>1.0692349300701025</v>
      </c>
      <c r="D33" s="22">
        <f>SQRT(AVERAGE(C$2:C33))</f>
        <v>1.9568529052168786</v>
      </c>
      <c r="E33" s="6">
        <f t="shared" si="1"/>
        <v>-0.5284189546818856</v>
      </c>
    </row>
    <row r="34" spans="1:5" ht="9.9499999999999993" customHeight="1" x14ac:dyDescent="0.25">
      <c r="A34" s="13">
        <v>39355</v>
      </c>
      <c r="B34" s="5">
        <v>0.24537912218962379</v>
      </c>
      <c r="C34" s="22">
        <f t="shared" si="0"/>
        <v>6.0210913606550322E-2</v>
      </c>
      <c r="D34" s="22">
        <f>SQRT(AVERAGE(C$2:C34))</f>
        <v>1.9274489049438897</v>
      </c>
      <c r="E34" s="6">
        <f t="shared" si="1"/>
        <v>0.12730771827996504</v>
      </c>
    </row>
    <row r="35" spans="1:5" ht="9.9499999999999993" customHeight="1" x14ac:dyDescent="0.25">
      <c r="A35" s="13">
        <v>39386</v>
      </c>
      <c r="B35" s="7">
        <v>-0.2758430617136462</v>
      </c>
      <c r="C35" s="8">
        <f t="shared" si="0"/>
        <v>7.6089394695558421E-2</v>
      </c>
      <c r="D35" s="8">
        <f>SQRT(AVERAGE(C$2:C35))</f>
        <v>1.8994817069655183</v>
      </c>
      <c r="E35" s="9">
        <f t="shared" si="1"/>
        <v>-0.1452201727987758</v>
      </c>
    </row>
    <row r="36" spans="1:5" ht="9.9499999999999993" customHeight="1" x14ac:dyDescent="0.25">
      <c r="A36" s="13">
        <v>39416</v>
      </c>
      <c r="B36" s="7">
        <v>-1.100057116671106</v>
      </c>
      <c r="C36" s="8">
        <f t="shared" si="0"/>
        <v>1.2101256599387471</v>
      </c>
      <c r="D36" s="8">
        <f>SQRT(AVERAGE(C$2:C36))</f>
        <v>1.8813609916624909</v>
      </c>
      <c r="E36" s="9">
        <f t="shared" si="1"/>
        <v>-0.58471347154860753</v>
      </c>
    </row>
    <row r="37" spans="1:5" ht="9.9499999999999993" customHeight="1" x14ac:dyDescent="0.25">
      <c r="A37" s="13">
        <v>39447</v>
      </c>
      <c r="B37" s="7">
        <v>-0.63030815786761274</v>
      </c>
      <c r="C37" s="8">
        <f t="shared" si="0"/>
        <v>0.39728837387446342</v>
      </c>
      <c r="D37" s="8">
        <f>SQRT(AVERAGE(C$2:C37))</f>
        <v>1.8580191042784946</v>
      </c>
      <c r="E37" s="9">
        <f t="shared" si="1"/>
        <v>-0.33923663993345959</v>
      </c>
    </row>
    <row r="38" spans="1:5" ht="9.9499999999999993" customHeight="1" x14ac:dyDescent="0.25">
      <c r="A38" s="13">
        <v>39478</v>
      </c>
      <c r="B38" s="7">
        <v>0.91495225378855194</v>
      </c>
      <c r="C38" s="8">
        <f t="shared" si="0"/>
        <v>0.83713762671275072</v>
      </c>
      <c r="D38" s="8">
        <f>SQRT(AVERAGE(C$2:C38))</f>
        <v>1.8389009447758771</v>
      </c>
      <c r="E38" s="9">
        <f t="shared" si="1"/>
        <v>0.49755385486523046</v>
      </c>
    </row>
    <row r="39" spans="1:5" ht="9.9499999999999993" customHeight="1" x14ac:dyDescent="0.25">
      <c r="A39" s="13">
        <v>39507</v>
      </c>
      <c r="B39" s="7">
        <v>-3.0049310351207459</v>
      </c>
      <c r="C39" s="8">
        <f t="shared" si="0"/>
        <v>9.0296105258318367</v>
      </c>
      <c r="D39" s="8">
        <f>SQRT(AVERAGE(C$2:C39))</f>
        <v>1.8788799005037378</v>
      </c>
      <c r="E39" s="9">
        <f t="shared" si="1"/>
        <v>-1.5993204431614323</v>
      </c>
    </row>
    <row r="40" spans="1:5" ht="9.9499999999999993" customHeight="1" x14ac:dyDescent="0.25">
      <c r="A40" s="13">
        <v>39538</v>
      </c>
      <c r="B40" s="7">
        <v>-1.486985234220572</v>
      </c>
      <c r="C40" s="8">
        <f t="shared" si="0"/>
        <v>2.2111250867900094</v>
      </c>
      <c r="D40" s="8">
        <f>SQRT(AVERAGE(C$2:C40))</f>
        <v>1.8698576179610613</v>
      </c>
      <c r="E40" s="9">
        <f t="shared" si="1"/>
        <v>-0.79523981929812249</v>
      </c>
    </row>
    <row r="41" spans="1:5" ht="9.9499999999999993" customHeight="1" x14ac:dyDescent="0.25">
      <c r="A41" s="13">
        <v>39568</v>
      </c>
      <c r="B41" s="7">
        <v>0.71979949566607759</v>
      </c>
      <c r="C41" s="8">
        <f t="shared" si="0"/>
        <v>0.51811131396113963</v>
      </c>
      <c r="D41" s="8">
        <f>SQRT(AVERAGE(C$2:C41))</f>
        <v>1.8498408327501767</v>
      </c>
      <c r="E41" s="9">
        <f t="shared" si="1"/>
        <v>0.38911428644157697</v>
      </c>
    </row>
    <row r="42" spans="1:5" ht="9.9499999999999993" customHeight="1" x14ac:dyDescent="0.25">
      <c r="A42" s="13">
        <v>39599</v>
      </c>
      <c r="B42" s="7">
        <v>-0.8003397570672689</v>
      </c>
      <c r="C42" s="8">
        <f t="shared" si="0"/>
        <v>0.64054372674249505</v>
      </c>
      <c r="D42" s="8">
        <f>SQRT(AVERAGE(C$2:C42))</f>
        <v>1.8314128092090689</v>
      </c>
      <c r="E42" s="9">
        <f t="shared" si="1"/>
        <v>-0.43700674858384936</v>
      </c>
    </row>
    <row r="43" spans="1:5" ht="9.9499999999999993" customHeight="1" x14ac:dyDescent="0.25">
      <c r="A43" s="13">
        <v>39629</v>
      </c>
      <c r="B43" s="7">
        <v>-2.4444288902648519</v>
      </c>
      <c r="C43" s="8">
        <f t="shared" si="0"/>
        <v>5.9752325995614557</v>
      </c>
      <c r="D43" s="8">
        <f>SQRT(AVERAGE(C$2:C43))</f>
        <v>1.8483726470981017</v>
      </c>
      <c r="E43" s="9">
        <f t="shared" si="1"/>
        <v>-1.3224762301598347</v>
      </c>
    </row>
    <row r="44" spans="1:5" ht="9.9499999999999993" customHeight="1" x14ac:dyDescent="0.25">
      <c r="A44" s="13">
        <v>39660</v>
      </c>
      <c r="B44" s="7">
        <v>-1.7991692439790501</v>
      </c>
      <c r="C44" s="8">
        <f t="shared" si="0"/>
        <v>3.2370099684801468</v>
      </c>
      <c r="D44" s="8">
        <f>SQRT(AVERAGE(C$2:C44))</f>
        <v>1.8472432669601855</v>
      </c>
      <c r="E44" s="9">
        <f t="shared" si="1"/>
        <v>-0.97397526149317315</v>
      </c>
    </row>
    <row r="45" spans="1:5" ht="9.9499999999999993" customHeight="1" x14ac:dyDescent="0.25">
      <c r="A45" s="13">
        <v>39691</v>
      </c>
      <c r="B45" s="7">
        <v>-2.4715793246157078</v>
      </c>
      <c r="C45" s="8">
        <f t="shared" si="0"/>
        <v>6.1087043578678388</v>
      </c>
      <c r="D45" s="8">
        <f>SQRT(AVERAGE(C$2:C45))</f>
        <v>1.8637568054448437</v>
      </c>
      <c r="E45" s="9">
        <f t="shared" si="1"/>
        <v>-1.3261275920737889</v>
      </c>
    </row>
    <row r="46" spans="1:5" ht="9.9499999999999993" customHeight="1" x14ac:dyDescent="0.25">
      <c r="A46" s="13">
        <v>39721</v>
      </c>
      <c r="B46" s="7">
        <v>-6.0668729125339276</v>
      </c>
      <c r="C46" s="8">
        <f t="shared" si="0"/>
        <v>36.806946936837903</v>
      </c>
      <c r="D46" s="8">
        <f>SQRT(AVERAGE(C$2:C46))</f>
        <v>2.0528835105225069</v>
      </c>
      <c r="E46" s="9">
        <f t="shared" si="1"/>
        <v>-2.9552933137398361</v>
      </c>
    </row>
    <row r="47" spans="1:5" ht="9.9499999999999993" customHeight="1" x14ac:dyDescent="0.25">
      <c r="A47" s="13">
        <v>39752</v>
      </c>
      <c r="B47" s="7">
        <v>-2.2791941441678012</v>
      </c>
      <c r="C47" s="8">
        <f t="shared" si="0"/>
        <v>5.1947259468087958</v>
      </c>
      <c r="D47" s="8">
        <f>SQRT(AVERAGE(C$2:C47))</f>
        <v>2.0580679405097886</v>
      </c>
      <c r="E47" s="9">
        <f t="shared" si="1"/>
        <v>-1.1074435878940125</v>
      </c>
    </row>
    <row r="48" spans="1:5" ht="9.9499999999999993" customHeight="1" x14ac:dyDescent="0.25">
      <c r="A48" s="13">
        <v>39782</v>
      </c>
      <c r="B48" s="7">
        <v>-5.1429647095058399</v>
      </c>
      <c r="C48" s="8">
        <f t="shared" si="0"/>
        <v>26.450086003222488</v>
      </c>
      <c r="D48" s="8">
        <f>SQRT(AVERAGE(C$2:C48))</f>
        <v>2.1698597552480248</v>
      </c>
      <c r="E48" s="9">
        <f t="shared" si="1"/>
        <v>-2.3701830024115895</v>
      </c>
    </row>
    <row r="49" spans="1:5" ht="9.9499999999999993" customHeight="1" x14ac:dyDescent="0.25">
      <c r="A49" s="13">
        <v>39813</v>
      </c>
      <c r="B49" s="7">
        <v>-6.2883711714898336</v>
      </c>
      <c r="C49" s="8">
        <f t="shared" si="0"/>
        <v>39.543611990424424</v>
      </c>
      <c r="D49" s="8">
        <f>SQRT(AVERAGE(C$2:C49))</f>
        <v>2.3310999987056373</v>
      </c>
      <c r="E49" s="9">
        <f t="shared" si="1"/>
        <v>-2.6975982047022882</v>
      </c>
    </row>
    <row r="50" spans="1:5" ht="9.9499999999999993" customHeight="1" x14ac:dyDescent="0.25">
      <c r="A50" s="13">
        <v>39844</v>
      </c>
      <c r="B50" s="7">
        <v>-8.9645070116194852</v>
      </c>
      <c r="C50" s="8">
        <f t="shared" si="0"/>
        <v>80.362385961374912</v>
      </c>
      <c r="D50" s="8">
        <f>SQRT(AVERAGE(C$2:C50))</f>
        <v>2.6387833148419113</v>
      </c>
      <c r="E50" s="9">
        <f t="shared" si="1"/>
        <v>-3.3972122535406233</v>
      </c>
    </row>
    <row r="51" spans="1:5" ht="9.9499999999999993" customHeight="1" x14ac:dyDescent="0.25">
      <c r="A51" s="13">
        <v>39872</v>
      </c>
      <c r="B51" s="7">
        <v>2.148412177873356</v>
      </c>
      <c r="C51" s="8">
        <f t="shared" si="0"/>
        <v>4.6156748860345367</v>
      </c>
      <c r="D51" s="8">
        <f>SQRT(AVERAGE(C$2:C51))</f>
        <v>2.6298721133840317</v>
      </c>
      <c r="E51" s="9">
        <f t="shared" si="1"/>
        <v>0.8169264835881509</v>
      </c>
    </row>
    <row r="52" spans="1:5" ht="9.9499999999999993" customHeight="1" x14ac:dyDescent="0.25">
      <c r="A52" s="13">
        <v>39903</v>
      </c>
      <c r="B52" s="7">
        <v>-3.9202043392591559</v>
      </c>
      <c r="C52" s="8">
        <f t="shared" si="0"/>
        <v>15.368002061546315</v>
      </c>
      <c r="D52" s="8">
        <f>SQRT(AVERAGE(C$2:C52))</f>
        <v>2.6611930418270204</v>
      </c>
      <c r="E52" s="9">
        <f t="shared" si="1"/>
        <v>-1.4731003266744496</v>
      </c>
    </row>
    <row r="53" spans="1:5" ht="9.9499999999999993" customHeight="1" x14ac:dyDescent="0.25">
      <c r="A53" s="13">
        <v>39933</v>
      </c>
      <c r="B53" s="7">
        <v>-1.352479842299769</v>
      </c>
      <c r="C53" s="8">
        <f t="shared" si="0"/>
        <v>1.829201723827208</v>
      </c>
      <c r="D53" s="8">
        <f>SQRT(AVERAGE(C$2:C53))</f>
        <v>2.6421457277369322</v>
      </c>
      <c r="E53" s="9">
        <f t="shared" si="1"/>
        <v>-0.51188692133881797</v>
      </c>
    </row>
    <row r="54" spans="1:5" ht="9.9499999999999993" customHeight="1" x14ac:dyDescent="0.25">
      <c r="A54" s="13">
        <v>39964</v>
      </c>
      <c r="B54" s="7">
        <v>5.2013570232745279</v>
      </c>
      <c r="C54" s="8">
        <f t="shared" si="0"/>
        <v>27.054114883567259</v>
      </c>
      <c r="D54" s="8">
        <f>SQRT(AVERAGE(C$2:C54))</f>
        <v>2.7128717823873294</v>
      </c>
      <c r="E54" s="9">
        <f t="shared" si="1"/>
        <v>1.9172881877584829</v>
      </c>
    </row>
    <row r="55" spans="1:5" ht="9.9499999999999993" customHeight="1" x14ac:dyDescent="0.25">
      <c r="A55" s="13">
        <v>39994</v>
      </c>
      <c r="B55" s="7">
        <v>3.1694298503192151</v>
      </c>
      <c r="C55" s="8">
        <f t="shared" si="0"/>
        <v>10.045285576094482</v>
      </c>
      <c r="D55" s="8">
        <f>SQRT(AVERAGE(C$2:C55))</f>
        <v>2.7220225693773594</v>
      </c>
      <c r="E55" s="9">
        <f t="shared" si="1"/>
        <v>1.164365749929912</v>
      </c>
    </row>
    <row r="56" spans="1:5" ht="9.9499999999999993" customHeight="1" x14ac:dyDescent="0.25">
      <c r="A56" s="13">
        <v>40025</v>
      </c>
      <c r="B56" s="7">
        <v>1.5898583493936349</v>
      </c>
      <c r="C56" s="8">
        <f t="shared" si="0"/>
        <v>2.5276495711366533</v>
      </c>
      <c r="D56" s="8">
        <f>SQRT(AVERAGE(C$2:C56))</f>
        <v>2.7056695372156514</v>
      </c>
      <c r="E56" s="9">
        <f t="shared" si="1"/>
        <v>0.58760256103918929</v>
      </c>
    </row>
    <row r="57" spans="1:5" ht="9.9499999999999993" customHeight="1" x14ac:dyDescent="0.25">
      <c r="A57" s="13">
        <v>40056</v>
      </c>
      <c r="B57" s="7">
        <v>-0.14743062469335219</v>
      </c>
      <c r="C57" s="8">
        <f t="shared" si="0"/>
        <v>2.173578909747207E-2</v>
      </c>
      <c r="D57" s="8">
        <f>SQRT(AVERAGE(C$2:C57))</f>
        <v>2.6814753276715142</v>
      </c>
      <c r="E57" s="9">
        <f t="shared" si="1"/>
        <v>-5.49811602485916E-2</v>
      </c>
    </row>
    <row r="58" spans="1:5" ht="9.9499999999999993" customHeight="1" x14ac:dyDescent="0.25">
      <c r="A58" s="13">
        <v>40086</v>
      </c>
      <c r="B58" s="7">
        <v>2.763214292421627</v>
      </c>
      <c r="C58" s="8">
        <f t="shared" si="0"/>
        <v>7.6353532258431525</v>
      </c>
      <c r="D58" s="8">
        <f>SQRT(AVERAGE(C$2:C58))</f>
        <v>2.6829308060365702</v>
      </c>
      <c r="E58" s="9">
        <f t="shared" si="1"/>
        <v>1.029923800570786</v>
      </c>
    </row>
    <row r="59" spans="1:5" ht="9.9499999999999993" customHeight="1" x14ac:dyDescent="0.25">
      <c r="A59" s="13">
        <v>40117</v>
      </c>
      <c r="B59" s="7">
        <v>-1.5299351016859539</v>
      </c>
      <c r="C59" s="8">
        <f t="shared" si="0"/>
        <v>2.3407014153708103</v>
      </c>
      <c r="D59" s="8">
        <f>SQRT(AVERAGE(C$2:C59))</f>
        <v>2.6672774795990821</v>
      </c>
      <c r="E59" s="9">
        <f t="shared" si="1"/>
        <v>-0.57359427858098888</v>
      </c>
    </row>
    <row r="60" spans="1:5" ht="9.9499999999999993" customHeight="1" x14ac:dyDescent="0.25">
      <c r="A60" s="13">
        <v>40147</v>
      </c>
      <c r="B60" s="7">
        <v>1.902560974492824</v>
      </c>
      <c r="C60" s="8">
        <f t="shared" si="0"/>
        <v>3.619738261663084</v>
      </c>
      <c r="D60" s="8">
        <f>SQRT(AVERAGE(C$2:C60))</f>
        <v>2.6561509974240702</v>
      </c>
      <c r="E60" s="9">
        <f t="shared" si="1"/>
        <v>0.71628494627674544</v>
      </c>
    </row>
    <row r="61" spans="1:5" ht="9.9499999999999993" customHeight="1" x14ac:dyDescent="0.25">
      <c r="A61" s="13">
        <v>40178</v>
      </c>
      <c r="B61" s="7">
        <v>1.5927874947700751</v>
      </c>
      <c r="C61" s="8">
        <f t="shared" si="0"/>
        <v>2.536972003495932</v>
      </c>
      <c r="D61" s="8">
        <f>SQRT(AVERAGE(C$2:C61))</f>
        <v>2.6419378025399971</v>
      </c>
      <c r="E61" s="9">
        <f t="shared" si="1"/>
        <v>0.60288606841491355</v>
      </c>
    </row>
    <row r="62" spans="1:5" ht="9.9499999999999993" customHeight="1" x14ac:dyDescent="0.25">
      <c r="A62" s="13">
        <v>40209</v>
      </c>
      <c r="B62" s="7">
        <v>1.222636880958595</v>
      </c>
      <c r="C62" s="8">
        <f t="shared" si="0"/>
        <v>1.4948409426801617</v>
      </c>
      <c r="D62" s="8">
        <f>SQRT(AVERAGE(C$2:C62))</f>
        <v>2.6248652177484173</v>
      </c>
      <c r="E62" s="9">
        <f t="shared" si="1"/>
        <v>0.46579034713537043</v>
      </c>
    </row>
    <row r="63" spans="1:5" ht="9.9499999999999993" customHeight="1" x14ac:dyDescent="0.25">
      <c r="A63" s="13">
        <v>40237</v>
      </c>
      <c r="B63" s="7">
        <v>0.79164875154437042</v>
      </c>
      <c r="C63" s="8">
        <f t="shared" si="0"/>
        <v>0.62670774582176036</v>
      </c>
      <c r="D63" s="8">
        <f>SQRT(AVERAGE(C$2:C63))</f>
        <v>2.6055513621134385</v>
      </c>
      <c r="E63" s="9">
        <f t="shared" si="1"/>
        <v>0.30383156634542069</v>
      </c>
    </row>
    <row r="64" spans="1:5" ht="9.9499999999999993" customHeight="1" x14ac:dyDescent="0.25">
      <c r="A64" s="13">
        <v>40268</v>
      </c>
      <c r="B64" s="7">
        <v>3.233655991943893</v>
      </c>
      <c r="C64" s="8">
        <f t="shared" si="0"/>
        <v>10.456531074234642</v>
      </c>
      <c r="D64" s="8">
        <f>SQRT(AVERAGE(C$2:C64))</f>
        <v>2.6166991229777485</v>
      </c>
      <c r="E64" s="9">
        <f t="shared" si="1"/>
        <v>1.2357767706453238</v>
      </c>
    </row>
    <row r="65" spans="1:5" ht="9.9499999999999993" customHeight="1" x14ac:dyDescent="0.25">
      <c r="A65" s="13">
        <v>40298</v>
      </c>
      <c r="B65" s="7">
        <v>0.99378567005557406</v>
      </c>
      <c r="C65" s="8">
        <f t="shared" si="0"/>
        <v>0.98760995800780627</v>
      </c>
      <c r="D65" s="8">
        <f>SQRT(AVERAGE(C$2:C65))</f>
        <v>2.5991459260391445</v>
      </c>
      <c r="E65" s="9">
        <f t="shared" si="1"/>
        <v>0.38235085614065945</v>
      </c>
    </row>
    <row r="66" spans="1:5" ht="9.9499999999999993" customHeight="1" x14ac:dyDescent="0.25">
      <c r="A66" s="13">
        <v>40329</v>
      </c>
      <c r="B66" s="7">
        <v>-2.1867260842666418</v>
      </c>
      <c r="C66" s="8">
        <f t="shared" si="0"/>
        <v>4.7817709676121201</v>
      </c>
      <c r="D66" s="8">
        <f>SQRT(AVERAGE(C$2:C66))</f>
        <v>2.5932978168221625</v>
      </c>
      <c r="E66" s="9">
        <f t="shared" si="1"/>
        <v>-0.84322212053001477</v>
      </c>
    </row>
    <row r="67" spans="1:5" ht="9.9499999999999993" customHeight="1" x14ac:dyDescent="0.25">
      <c r="A67" s="13">
        <v>40359</v>
      </c>
      <c r="B67" s="7">
        <v>0.81396105817348174</v>
      </c>
      <c r="C67" s="8">
        <f t="shared" ref="C67:C130" si="2">B67^2</f>
        <v>0.66253260422289417</v>
      </c>
      <c r="D67" s="8">
        <f>SQRT(AVERAGE(C$2:C67))</f>
        <v>2.575526172901879</v>
      </c>
      <c r="E67" s="9">
        <f t="shared" ref="E67:E130" si="3">B67/D67</f>
        <v>0.31603680317345839</v>
      </c>
    </row>
    <row r="68" spans="1:5" ht="9.9499999999999993" customHeight="1" x14ac:dyDescent="0.25">
      <c r="A68" s="13">
        <v>40390</v>
      </c>
      <c r="B68" s="7">
        <v>0.11702559824044111</v>
      </c>
      <c r="C68" s="8">
        <f t="shared" si="2"/>
        <v>1.3694990643533132E-2</v>
      </c>
      <c r="D68" s="8">
        <f>SQRT(AVERAGE(C$2:C68))</f>
        <v>2.5562735513132213</v>
      </c>
      <c r="E68" s="9">
        <f t="shared" si="3"/>
        <v>4.5779763351352656E-2</v>
      </c>
    </row>
    <row r="69" spans="1:5" ht="9.9499999999999993" customHeight="1" x14ac:dyDescent="0.25">
      <c r="A69" s="13">
        <v>40421</v>
      </c>
      <c r="B69" s="7">
        <v>-0.12511747212608151</v>
      </c>
      <c r="C69" s="8">
        <f t="shared" si="2"/>
        <v>1.5654381831220785E-2</v>
      </c>
      <c r="D69" s="8">
        <f>SQRT(AVERAGE(C$2:C69))</f>
        <v>2.5374531691257993</v>
      </c>
      <c r="E69" s="9">
        <f t="shared" si="3"/>
        <v>-4.9308288187713371E-2</v>
      </c>
    </row>
    <row r="70" spans="1:5" ht="9.9499999999999993" customHeight="1" x14ac:dyDescent="0.25">
      <c r="A70" s="13">
        <v>40451</v>
      </c>
      <c r="B70" s="7">
        <v>1.919985584375943</v>
      </c>
      <c r="C70" s="8">
        <f t="shared" si="2"/>
        <v>3.6863446442114314</v>
      </c>
      <c r="D70" s="8">
        <f>SQRT(AVERAGE(C$2:C70))</f>
        <v>2.5295809599090062</v>
      </c>
      <c r="E70" s="9">
        <f t="shared" si="3"/>
        <v>0.75901329698694775</v>
      </c>
    </row>
    <row r="71" spans="1:5" ht="9.9499999999999993" customHeight="1" x14ac:dyDescent="0.25">
      <c r="A71" s="13">
        <v>40482</v>
      </c>
      <c r="B71" s="7">
        <v>1.1954097393763869</v>
      </c>
      <c r="C71" s="8">
        <f t="shared" si="2"/>
        <v>1.4290044449959214</v>
      </c>
      <c r="D71" s="8">
        <f>SQRT(AVERAGE(C$2:C71))</f>
        <v>2.5155085055472912</v>
      </c>
      <c r="E71" s="9">
        <f t="shared" si="3"/>
        <v>0.47521594013306884</v>
      </c>
    </row>
    <row r="72" spans="1:5" ht="9.9499999999999993" customHeight="1" x14ac:dyDescent="0.25">
      <c r="A72" s="13">
        <v>40512</v>
      </c>
      <c r="B72" s="7">
        <v>1.23438305480207</v>
      </c>
      <c r="C72" s="8">
        <f t="shared" si="2"/>
        <v>1.5237015259824902</v>
      </c>
      <c r="D72" s="8">
        <f>SQRT(AVERAGE(C$2:C72))</f>
        <v>2.5020231656689695</v>
      </c>
      <c r="E72" s="9">
        <f t="shared" si="3"/>
        <v>0.49335396719719471</v>
      </c>
    </row>
    <row r="73" spans="1:5" ht="9.9499999999999993" customHeight="1" x14ac:dyDescent="0.25">
      <c r="A73" s="13">
        <v>40543</v>
      </c>
      <c r="B73" s="7">
        <v>1.103093471772691</v>
      </c>
      <c r="C73" s="8">
        <f t="shared" si="2"/>
        <v>1.2168152074675287</v>
      </c>
      <c r="D73" s="8">
        <f>SQRT(AVERAGE(C$2:C73))</f>
        <v>2.4879859370055835</v>
      </c>
      <c r="E73" s="9">
        <f t="shared" si="3"/>
        <v>0.44336804937905705</v>
      </c>
    </row>
    <row r="74" spans="1:5" ht="9.9499999999999993" customHeight="1" x14ac:dyDescent="0.25">
      <c r="A74" s="13">
        <v>40574</v>
      </c>
      <c r="B74" s="7">
        <v>0.54797566044679813</v>
      </c>
      <c r="C74" s="8">
        <f t="shared" si="2"/>
        <v>0.30027732444210459</v>
      </c>
      <c r="D74" s="8">
        <f>SQRT(AVERAGE(C$2:C74))</f>
        <v>2.4717184055198436</v>
      </c>
      <c r="E74" s="9">
        <f t="shared" si="3"/>
        <v>0.2216982562508166</v>
      </c>
    </row>
    <row r="75" spans="1:5" ht="9.9499999999999993" customHeight="1" x14ac:dyDescent="0.25">
      <c r="A75" s="13">
        <v>40602</v>
      </c>
      <c r="B75" s="7">
        <v>-2.6413184731592172</v>
      </c>
      <c r="C75" s="8">
        <f t="shared" si="2"/>
        <v>6.9765632766521382</v>
      </c>
      <c r="D75" s="8">
        <f>SQRT(AVERAGE(C$2:C75))</f>
        <v>2.4740877932329517</v>
      </c>
      <c r="E75" s="9">
        <f t="shared" si="3"/>
        <v>-1.0675928640784977</v>
      </c>
    </row>
    <row r="76" spans="1:5" ht="9.9499999999999993" customHeight="1" x14ac:dyDescent="0.25">
      <c r="A76" s="13">
        <v>40633</v>
      </c>
      <c r="B76" s="7">
        <v>4.5012513211883816</v>
      </c>
      <c r="C76" s="8">
        <f t="shared" si="2"/>
        <v>20.261263456500149</v>
      </c>
      <c r="D76" s="8">
        <f>SQRT(AVERAGE(C$2:C76))</f>
        <v>2.511900830565565</v>
      </c>
      <c r="E76" s="9">
        <f t="shared" si="3"/>
        <v>1.7919701551971325</v>
      </c>
    </row>
    <row r="77" spans="1:5" ht="9.9499999999999993" customHeight="1" x14ac:dyDescent="0.25">
      <c r="A77" s="13">
        <v>40663</v>
      </c>
      <c r="B77" s="7">
        <v>-8.606803648196637E-2</v>
      </c>
      <c r="C77" s="8">
        <f t="shared" si="2"/>
        <v>7.4077069038610936E-3</v>
      </c>
      <c r="D77" s="8">
        <f>SQRT(AVERAGE(C$2:C77))</f>
        <v>2.4953399763137485</v>
      </c>
      <c r="E77" s="9">
        <f t="shared" si="3"/>
        <v>-3.4491507088789855E-2</v>
      </c>
    </row>
    <row r="78" spans="1:5" ht="9.9499999999999993" customHeight="1" x14ac:dyDescent="0.25">
      <c r="A78" s="13">
        <v>40694</v>
      </c>
      <c r="B78" s="7">
        <v>0.81163921619216339</v>
      </c>
      <c r="C78" s="8">
        <f t="shared" si="2"/>
        <v>0.65875821726102934</v>
      </c>
      <c r="D78" s="8">
        <f>SQRT(AVERAGE(C$2:C78))</f>
        <v>2.4808084135338944</v>
      </c>
      <c r="E78" s="9">
        <f t="shared" si="3"/>
        <v>0.32716722974830165</v>
      </c>
    </row>
    <row r="79" spans="1:5" ht="9.9499999999999993" customHeight="1" x14ac:dyDescent="0.25">
      <c r="A79" s="13">
        <v>40724</v>
      </c>
      <c r="B79" s="7">
        <v>1.8779764280906499</v>
      </c>
      <c r="C79" s="8">
        <f t="shared" si="2"/>
        <v>3.526795464464116</v>
      </c>
      <c r="D79" s="8">
        <f>SQRT(AVERAGE(C$2:C79))</f>
        <v>2.4740095015760972</v>
      </c>
      <c r="E79" s="9">
        <f t="shared" si="3"/>
        <v>0.75908214050684231</v>
      </c>
    </row>
    <row r="80" spans="1:5" ht="9.9499999999999993" customHeight="1" x14ac:dyDescent="0.25">
      <c r="A80" s="13">
        <v>40755</v>
      </c>
      <c r="B80" s="7">
        <v>1.8352218090177581</v>
      </c>
      <c r="C80" s="8">
        <f t="shared" si="2"/>
        <v>3.3680390882944127</v>
      </c>
      <c r="D80" s="8">
        <f>SQRT(AVERAGE(C$2:C80))</f>
        <v>2.4669574202982973</v>
      </c>
      <c r="E80" s="9">
        <f t="shared" si="3"/>
        <v>0.74392115320573649</v>
      </c>
    </row>
    <row r="81" spans="1:5" ht="9.9499999999999993" customHeight="1" x14ac:dyDescent="0.25">
      <c r="A81" s="13">
        <v>40786</v>
      </c>
      <c r="B81" s="7">
        <v>-0.51424201348924825</v>
      </c>
      <c r="C81" s="8">
        <f t="shared" si="2"/>
        <v>0.26444484843747618</v>
      </c>
      <c r="D81" s="8">
        <f>SQRT(AVERAGE(C$2:C81))</f>
        <v>2.4521645515239667</v>
      </c>
      <c r="E81" s="9">
        <f t="shared" si="3"/>
        <v>-0.20970942311748944</v>
      </c>
    </row>
    <row r="82" spans="1:5" ht="9.9499999999999993" customHeight="1" x14ac:dyDescent="0.25">
      <c r="A82" s="13">
        <v>40816</v>
      </c>
      <c r="B82" s="7">
        <v>1.9669310996501701</v>
      </c>
      <c r="C82" s="8">
        <f t="shared" si="2"/>
        <v>3.8688179507710272</v>
      </c>
      <c r="D82" s="8">
        <f>SQRT(AVERAGE(C$2:C82))</f>
        <v>2.446760763582696</v>
      </c>
      <c r="E82" s="9">
        <f t="shared" si="3"/>
        <v>0.8038918757100183</v>
      </c>
    </row>
    <row r="83" spans="1:5" ht="9.9499999999999993" customHeight="1" x14ac:dyDescent="0.25">
      <c r="A83" s="13">
        <v>40847</v>
      </c>
      <c r="B83" s="7">
        <v>1.900140762620868</v>
      </c>
      <c r="C83" s="8">
        <f t="shared" si="2"/>
        <v>3.6105349177734136</v>
      </c>
      <c r="D83" s="8">
        <f>SQRT(AVERAGE(C$2:C83))</f>
        <v>2.4408321049378148</v>
      </c>
      <c r="E83" s="9">
        <f t="shared" si="3"/>
        <v>0.7784807315410488</v>
      </c>
    </row>
    <row r="84" spans="1:5" ht="9.9499999999999993" customHeight="1" x14ac:dyDescent="0.25">
      <c r="A84" s="13">
        <v>40877</v>
      </c>
      <c r="B84" s="7">
        <v>0.67390378076433821</v>
      </c>
      <c r="C84" s="8">
        <f t="shared" si="2"/>
        <v>0.4541463057284692</v>
      </c>
      <c r="D84" s="8">
        <f>SQRT(AVERAGE(C$2:C84))</f>
        <v>2.4272111474176645</v>
      </c>
      <c r="E84" s="9">
        <f t="shared" si="3"/>
        <v>0.27764530559333972</v>
      </c>
    </row>
    <row r="85" spans="1:5" ht="9.9499999999999993" customHeight="1" x14ac:dyDescent="0.25">
      <c r="A85" s="13">
        <v>40908</v>
      </c>
      <c r="B85" s="7">
        <v>4.4942857360798953</v>
      </c>
      <c r="C85" s="8">
        <f t="shared" si="2"/>
        <v>20.198604277531206</v>
      </c>
      <c r="D85" s="8">
        <f>SQRT(AVERAGE(C$2:C85))</f>
        <v>2.4620475955513683</v>
      </c>
      <c r="E85" s="9">
        <f t="shared" si="3"/>
        <v>1.8254260170276737</v>
      </c>
    </row>
    <row r="86" spans="1:5" ht="9.9499999999999993" customHeight="1" x14ac:dyDescent="0.25">
      <c r="A86" s="13">
        <v>40939</v>
      </c>
      <c r="B86" s="7">
        <v>0.74669178954351834</v>
      </c>
      <c r="C86" s="8">
        <f t="shared" si="2"/>
        <v>0.55754862857170184</v>
      </c>
      <c r="D86" s="8">
        <f>SQRT(AVERAGE(C$2:C86))</f>
        <v>2.4488617550403355</v>
      </c>
      <c r="E86" s="9">
        <f t="shared" si="3"/>
        <v>0.30491381884120261</v>
      </c>
    </row>
    <row r="87" spans="1:5" ht="9.9499999999999993" customHeight="1" x14ac:dyDescent="0.25">
      <c r="A87" s="13">
        <v>40968</v>
      </c>
      <c r="B87" s="7">
        <v>-0.46825336776104931</v>
      </c>
      <c r="C87" s="8">
        <f t="shared" si="2"/>
        <v>0.2192612164195645</v>
      </c>
      <c r="D87" s="8">
        <f>SQRT(AVERAGE(C$2:C87))</f>
        <v>2.4351061108555849</v>
      </c>
      <c r="E87" s="9">
        <f t="shared" si="3"/>
        <v>-0.19229279811405281</v>
      </c>
    </row>
    <row r="88" spans="1:5" ht="9.9499999999999993" customHeight="1" x14ac:dyDescent="0.25">
      <c r="A88" s="13">
        <v>40999</v>
      </c>
      <c r="B88" s="7">
        <v>2.2335671563017292</v>
      </c>
      <c r="C88" s="8">
        <f t="shared" si="2"/>
        <v>4.9888222417097934</v>
      </c>
      <c r="D88" s="8">
        <f>SQRT(AVERAGE(C$2:C88))</f>
        <v>2.4328844206253257</v>
      </c>
      <c r="E88" s="9">
        <f t="shared" si="3"/>
        <v>0.91807368133321932</v>
      </c>
    </row>
    <row r="89" spans="1:5" ht="9.9499999999999993" customHeight="1" x14ac:dyDescent="0.25">
      <c r="A89" s="13">
        <v>41029</v>
      </c>
      <c r="B89" s="7">
        <v>9.5524106305936884E-2</v>
      </c>
      <c r="C89" s="8">
        <f t="shared" si="2"/>
        <v>9.1248548855479301E-3</v>
      </c>
      <c r="D89" s="8">
        <f>SQRT(AVERAGE(C$2:C89))</f>
        <v>2.4190431509301207</v>
      </c>
      <c r="E89" s="9">
        <f t="shared" si="3"/>
        <v>3.9488384599178368E-2</v>
      </c>
    </row>
    <row r="90" spans="1:5" ht="9.9499999999999993" customHeight="1" x14ac:dyDescent="0.25">
      <c r="A90" s="13">
        <v>41060</v>
      </c>
      <c r="B90" s="7">
        <v>1.6954886420582389</v>
      </c>
      <c r="C90" s="8">
        <f t="shared" si="2"/>
        <v>2.8746817353484908</v>
      </c>
      <c r="D90" s="8">
        <f>SQRT(AVERAGE(C$2:C90))</f>
        <v>2.4121192629616264</v>
      </c>
      <c r="E90" s="9">
        <f t="shared" si="3"/>
        <v>0.70290415075766177</v>
      </c>
    </row>
    <row r="91" spans="1:5" ht="9.9499999999999993" customHeight="1" x14ac:dyDescent="0.25">
      <c r="A91" s="13">
        <v>41090</v>
      </c>
      <c r="B91" s="7">
        <v>0.7076710111841672</v>
      </c>
      <c r="C91" s="8">
        <f t="shared" si="2"/>
        <v>0.50079826007042172</v>
      </c>
      <c r="D91" s="8">
        <f>SQRT(AVERAGE(C$2:C91))</f>
        <v>2.3998407803872426</v>
      </c>
      <c r="E91" s="9">
        <f t="shared" si="3"/>
        <v>0.29488248427463432</v>
      </c>
    </row>
    <row r="92" spans="1:5" ht="9.9499999999999993" customHeight="1" x14ac:dyDescent="0.25">
      <c r="A92" s="13">
        <v>41121</v>
      </c>
      <c r="B92" s="7">
        <v>-0.69534041975719396</v>
      </c>
      <c r="C92" s="8">
        <f t="shared" si="2"/>
        <v>0.48349829934811067</v>
      </c>
      <c r="D92" s="8">
        <f>SQRT(AVERAGE(C$2:C92))</f>
        <v>2.3877312734384968</v>
      </c>
      <c r="E92" s="9">
        <f t="shared" si="3"/>
        <v>-0.29121385119517912</v>
      </c>
    </row>
    <row r="93" spans="1:5" ht="9.9499999999999993" customHeight="1" x14ac:dyDescent="0.25">
      <c r="A93" s="13">
        <v>41152</v>
      </c>
      <c r="B93" s="7">
        <v>0.38683970859835898</v>
      </c>
      <c r="C93" s="8">
        <f t="shared" si="2"/>
        <v>0.14964496014846329</v>
      </c>
      <c r="D93" s="8">
        <f>SQRT(AVERAGE(C$2:C93))</f>
        <v>2.3750614698415085</v>
      </c>
      <c r="E93" s="9">
        <f t="shared" si="3"/>
        <v>0.1628756617504192</v>
      </c>
    </row>
    <row r="94" spans="1:5" ht="9.9499999999999993" customHeight="1" x14ac:dyDescent="0.25">
      <c r="A94" s="13">
        <v>41182</v>
      </c>
      <c r="B94" s="7">
        <v>3.5608166224710209</v>
      </c>
      <c r="C94" s="8">
        <f t="shared" si="2"/>
        <v>12.67941501886593</v>
      </c>
      <c r="D94" s="8">
        <f>SQRT(AVERAGE(C$2:C94))</f>
        <v>2.3909411870804669</v>
      </c>
      <c r="E94" s="9">
        <f t="shared" si="3"/>
        <v>1.4892949444812846</v>
      </c>
    </row>
    <row r="95" spans="1:5" ht="9.9499999999999993" customHeight="1" x14ac:dyDescent="0.25">
      <c r="A95" s="13">
        <v>41213</v>
      </c>
      <c r="B95" s="7">
        <v>-0.1249882546969998</v>
      </c>
      <c r="C95" s="8">
        <f t="shared" si="2"/>
        <v>1.5622063812202092E-2</v>
      </c>
      <c r="D95" s="8">
        <f>SQRT(AVERAGE(C$2:C95))</f>
        <v>2.3782243504727028</v>
      </c>
      <c r="E95" s="9">
        <f t="shared" si="3"/>
        <v>-5.2555283387018037E-2</v>
      </c>
    </row>
    <row r="96" spans="1:5" ht="9.9499999999999993" customHeight="1" x14ac:dyDescent="0.25">
      <c r="A96" s="13">
        <v>41243</v>
      </c>
      <c r="B96" s="7">
        <v>1.6854189407431031</v>
      </c>
      <c r="C96" s="8">
        <f t="shared" si="2"/>
        <v>2.8406370058156036</v>
      </c>
      <c r="D96" s="8">
        <f>SQRT(AVERAGE(C$2:C96))</f>
        <v>2.3719857032427463</v>
      </c>
      <c r="E96" s="9">
        <f t="shared" si="3"/>
        <v>0.71055189685121778</v>
      </c>
    </row>
    <row r="97" spans="1:5" ht="9.9499999999999993" customHeight="1" x14ac:dyDescent="0.25">
      <c r="A97" s="13">
        <v>41274</v>
      </c>
      <c r="B97" s="7">
        <v>1.872492208425413</v>
      </c>
      <c r="C97" s="8">
        <f t="shared" si="2"/>
        <v>3.5062270706138801</v>
      </c>
      <c r="D97" s="8">
        <f>SQRT(AVERAGE(C$2:C97))</f>
        <v>2.3673258995899795</v>
      </c>
      <c r="E97" s="9">
        <f t="shared" si="3"/>
        <v>0.79097356589125656</v>
      </c>
    </row>
    <row r="98" spans="1:5" ht="9.9499999999999993" customHeight="1" x14ac:dyDescent="0.25">
      <c r="A98" s="13">
        <v>41305</v>
      </c>
      <c r="B98" s="7">
        <v>1.0340784992243319</v>
      </c>
      <c r="C98" s="8">
        <f t="shared" si="2"/>
        <v>1.0693183425580466</v>
      </c>
      <c r="D98" s="8">
        <f>SQRT(AVERAGE(C$2:C98))</f>
        <v>2.3574308533988897</v>
      </c>
      <c r="E98" s="9">
        <f t="shared" si="3"/>
        <v>0.43864637545293056</v>
      </c>
    </row>
    <row r="99" spans="1:5" ht="9.9499999999999993" customHeight="1" x14ac:dyDescent="0.25">
      <c r="A99" s="13">
        <v>41333</v>
      </c>
      <c r="B99" s="7">
        <v>1.982050132013677</v>
      </c>
      <c r="C99" s="8">
        <f t="shared" si="2"/>
        <v>3.9285227258154345</v>
      </c>
      <c r="D99" s="8">
        <f>SQRT(AVERAGE(C$2:C99))</f>
        <v>2.3539027620577109</v>
      </c>
      <c r="E99" s="9">
        <f t="shared" si="3"/>
        <v>0.84202719159096806</v>
      </c>
    </row>
    <row r="100" spans="1:5" ht="9.9499999999999993" customHeight="1" x14ac:dyDescent="0.25">
      <c r="A100" s="13">
        <v>41364</v>
      </c>
      <c r="B100" s="7">
        <v>-0.111971416184852</v>
      </c>
      <c r="C100" s="8">
        <f t="shared" si="2"/>
        <v>1.2537598042441336E-2</v>
      </c>
      <c r="D100" s="8">
        <f>SQRT(AVERAGE(C$2:C100))</f>
        <v>2.3420112277372538</v>
      </c>
      <c r="E100" s="9">
        <f t="shared" si="3"/>
        <v>-4.7809939960464565E-2</v>
      </c>
    </row>
    <row r="101" spans="1:5" ht="9.9499999999999993" customHeight="1" x14ac:dyDescent="0.25">
      <c r="A101" s="13">
        <v>41394</v>
      </c>
      <c r="B101" s="7">
        <v>-3.5847953924506119E-2</v>
      </c>
      <c r="C101" s="8">
        <f t="shared" si="2"/>
        <v>1.2850758005735136E-3</v>
      </c>
      <c r="D101" s="8">
        <f>SQRT(AVERAGE(C$2:C101))</f>
        <v>2.3302745065113872</v>
      </c>
      <c r="E101" s="9">
        <f t="shared" si="3"/>
        <v>-1.5383575550578999E-2</v>
      </c>
    </row>
    <row r="102" spans="1:5" ht="9.9499999999999993" customHeight="1" x14ac:dyDescent="0.25">
      <c r="A102" s="13">
        <v>41425</v>
      </c>
      <c r="B102" s="7">
        <v>2.102949432615568</v>
      </c>
      <c r="C102" s="8">
        <f t="shared" si="2"/>
        <v>4.4223963161381397</v>
      </c>
      <c r="D102" s="8">
        <f>SQRT(AVERAGE(C$2:C102))</f>
        <v>2.328132562074666</v>
      </c>
      <c r="E102" s="9">
        <f t="shared" si="3"/>
        <v>0.90327735923317409</v>
      </c>
    </row>
    <row r="103" spans="1:5" ht="9.9499999999999993" customHeight="1" x14ac:dyDescent="0.25">
      <c r="A103" s="13">
        <v>41455</v>
      </c>
      <c r="B103" s="7">
        <v>1.1637847234933989</v>
      </c>
      <c r="C103" s="8">
        <f t="shared" si="2"/>
        <v>1.354394882636607</v>
      </c>
      <c r="D103" s="8">
        <f>SQRT(AVERAGE(C$2:C103))</f>
        <v>2.3195560739251331</v>
      </c>
      <c r="E103" s="9">
        <f t="shared" si="3"/>
        <v>0.50172735058051532</v>
      </c>
    </row>
    <row r="104" spans="1:5" ht="9.9499999999999993" customHeight="1" x14ac:dyDescent="0.25">
      <c r="A104" s="13">
        <v>41486</v>
      </c>
      <c r="B104" s="7">
        <v>-2.959258179397235</v>
      </c>
      <c r="C104" s="8">
        <f t="shared" si="2"/>
        <v>8.7572089723294386</v>
      </c>
      <c r="D104" s="8">
        <f>SQRT(AVERAGE(C$2:C104))</f>
        <v>2.326612454201717</v>
      </c>
      <c r="E104" s="9">
        <f t="shared" si="3"/>
        <v>-1.2719171059421603</v>
      </c>
    </row>
    <row r="105" spans="1:5" ht="9.9499999999999993" customHeight="1" x14ac:dyDescent="0.25">
      <c r="A105" s="13">
        <v>41517</v>
      </c>
      <c r="B105" s="7">
        <v>2.353398209869122</v>
      </c>
      <c r="C105" s="8">
        <f t="shared" si="2"/>
        <v>5.5384831342151877</v>
      </c>
      <c r="D105" s="8">
        <f>SQRT(AVERAGE(C$2:C105))</f>
        <v>2.3268714777138331</v>
      </c>
      <c r="E105" s="9">
        <f t="shared" si="3"/>
        <v>1.0114001707483009</v>
      </c>
    </row>
    <row r="106" spans="1:5" ht="9.9499999999999993" customHeight="1" x14ac:dyDescent="0.25">
      <c r="A106" s="13">
        <v>41547</v>
      </c>
      <c r="B106" s="7">
        <v>-0.1592573691834569</v>
      </c>
      <c r="C106" s="8">
        <f t="shared" si="2"/>
        <v>2.5362909639235886E-2</v>
      </c>
      <c r="D106" s="8">
        <f>SQRT(AVERAGE(C$2:C106))</f>
        <v>2.3158167823421603</v>
      </c>
      <c r="E106" s="9">
        <f t="shared" si="3"/>
        <v>-6.8769416647196033E-2</v>
      </c>
    </row>
    <row r="107" spans="1:5" ht="9.9499999999999993" customHeight="1" x14ac:dyDescent="0.25">
      <c r="A107" s="13">
        <v>41578</v>
      </c>
      <c r="B107" s="7">
        <v>1.95760999476396</v>
      </c>
      <c r="C107" s="8">
        <f t="shared" si="2"/>
        <v>3.8322368915997518</v>
      </c>
      <c r="D107" s="8">
        <f>SQRT(AVERAGE(C$2:C107))</f>
        <v>2.3126967242712921</v>
      </c>
      <c r="E107" s="9">
        <f t="shared" si="3"/>
        <v>0.84646204330175789</v>
      </c>
    </row>
    <row r="108" spans="1:5" ht="9.9499999999999993" customHeight="1" x14ac:dyDescent="0.25">
      <c r="A108" s="13">
        <v>41608</v>
      </c>
      <c r="B108" s="7">
        <v>3.7169434733594371</v>
      </c>
      <c r="C108" s="8">
        <f t="shared" si="2"/>
        <v>13.815668784149317</v>
      </c>
      <c r="D108" s="8">
        <f>SQRT(AVERAGE(C$2:C108))</f>
        <v>2.3297420326899312</v>
      </c>
      <c r="E108" s="9">
        <f t="shared" si="3"/>
        <v>1.5954313487093834</v>
      </c>
    </row>
    <row r="109" spans="1:5" ht="9.9499999999999993" customHeight="1" x14ac:dyDescent="0.25">
      <c r="A109" s="13">
        <v>41639</v>
      </c>
      <c r="B109" s="7">
        <v>-1.351629296223708</v>
      </c>
      <c r="C109" s="8">
        <f t="shared" si="2"/>
        <v>1.8269017544101962</v>
      </c>
      <c r="D109" s="8">
        <f>SQRT(AVERAGE(C$2:C109))</f>
        <v>2.3225755603360754</v>
      </c>
      <c r="E109" s="9">
        <f t="shared" si="3"/>
        <v>-0.5819527766098288</v>
      </c>
    </row>
    <row r="110" spans="1:5" ht="9.9499999999999993" customHeight="1" x14ac:dyDescent="0.25">
      <c r="A110" s="13">
        <v>41670</v>
      </c>
      <c r="B110" s="7">
        <v>-1.026696264243729</v>
      </c>
      <c r="C110" s="8">
        <f t="shared" si="2"/>
        <v>1.0541052190120288</v>
      </c>
      <c r="D110" s="8">
        <f>SQRT(AVERAGE(C$2:C110))</f>
        <v>2.3139875556384735</v>
      </c>
      <c r="E110" s="9">
        <f t="shared" si="3"/>
        <v>-0.44369135077757316</v>
      </c>
    </row>
    <row r="111" spans="1:5" ht="9.9499999999999993" customHeight="1" x14ac:dyDescent="0.25">
      <c r="A111" s="13">
        <v>41698</v>
      </c>
      <c r="B111" s="7">
        <v>1.270044856671551</v>
      </c>
      <c r="C111" s="8">
        <f t="shared" si="2"/>
        <v>1.6130139379578605</v>
      </c>
      <c r="D111" s="8">
        <f>SQRT(AVERAGE(C$2:C111))</f>
        <v>2.3066262265122921</v>
      </c>
      <c r="E111" s="9">
        <f t="shared" si="3"/>
        <v>0.55060713438254272</v>
      </c>
    </row>
    <row r="112" spans="1:5" ht="9.9499999999999993" customHeight="1" x14ac:dyDescent="0.25">
      <c r="A112" s="13">
        <v>41729</v>
      </c>
      <c r="B112" s="7">
        <v>2.641257363971254</v>
      </c>
      <c r="C112" s="8">
        <f t="shared" si="2"/>
        <v>6.9762404627323775</v>
      </c>
      <c r="D112" s="8">
        <f>SQRT(AVERAGE(C$2:C112))</f>
        <v>2.3098573350791605</v>
      </c>
      <c r="E112" s="9">
        <f t="shared" si="3"/>
        <v>1.1434720767638822</v>
      </c>
    </row>
    <row r="113" spans="1:5" ht="9.9499999999999993" customHeight="1" x14ac:dyDescent="0.25">
      <c r="A113" s="13">
        <v>41759</v>
      </c>
      <c r="B113" s="7">
        <v>0.92730096528477213</v>
      </c>
      <c r="C113" s="8">
        <f t="shared" si="2"/>
        <v>0.85988708021807014</v>
      </c>
      <c r="D113" s="8">
        <f>SQRT(AVERAGE(C$2:C113))</f>
        <v>2.3011911277383055</v>
      </c>
      <c r="E113" s="9">
        <f t="shared" si="3"/>
        <v>0.40296564422971565</v>
      </c>
    </row>
    <row r="114" spans="1:5" ht="9.9499999999999993" customHeight="1" x14ac:dyDescent="0.25">
      <c r="A114" s="13">
        <v>41790</v>
      </c>
      <c r="B114" s="7">
        <v>1.9400797915509791</v>
      </c>
      <c r="C114" s="8">
        <f t="shared" si="2"/>
        <v>3.7639095975844903</v>
      </c>
      <c r="D114" s="8">
        <f>SQRT(AVERAGE(C$2:C114))</f>
        <v>2.2982443039502845</v>
      </c>
      <c r="E114" s="9">
        <f t="shared" si="3"/>
        <v>0.84415733706652396</v>
      </c>
    </row>
    <row r="115" spans="1:5" ht="9.9499999999999993" customHeight="1" x14ac:dyDescent="0.25">
      <c r="A115" s="13">
        <v>41820</v>
      </c>
      <c r="B115" s="7">
        <v>0.65325983961499867</v>
      </c>
      <c r="C115" s="8">
        <f t="shared" si="2"/>
        <v>0.4267484180538138</v>
      </c>
      <c r="D115" s="8">
        <f>SQRT(AVERAGE(C$2:C115))</f>
        <v>2.2889599375874625</v>
      </c>
      <c r="E115" s="9">
        <f t="shared" si="3"/>
        <v>0.28539592541035341</v>
      </c>
    </row>
    <row r="116" spans="1:5" ht="9.9499999999999993" customHeight="1" x14ac:dyDescent="0.25">
      <c r="A116" s="13">
        <v>41851</v>
      </c>
      <c r="B116" s="7">
        <v>0.76088494949088525</v>
      </c>
      <c r="C116" s="8">
        <f t="shared" si="2"/>
        <v>0.57894590636174703</v>
      </c>
      <c r="D116" s="8">
        <f>SQRT(AVERAGE(C$2:C116))</f>
        <v>2.280090447932746</v>
      </c>
      <c r="E116" s="9">
        <f t="shared" si="3"/>
        <v>0.33370823082073126</v>
      </c>
    </row>
    <row r="117" spans="1:5" ht="9.9499999999999993" customHeight="1" x14ac:dyDescent="0.25">
      <c r="A117" s="13">
        <v>41882</v>
      </c>
      <c r="B117" s="7">
        <v>3.0998985365792668</v>
      </c>
      <c r="C117" s="8">
        <f t="shared" si="2"/>
        <v>9.6093709370862808</v>
      </c>
      <c r="D117" s="8">
        <f>SQRT(AVERAGE(C$2:C117))</f>
        <v>2.288413097906671</v>
      </c>
      <c r="E117" s="9">
        <f t="shared" si="3"/>
        <v>1.3546061851397824</v>
      </c>
    </row>
    <row r="118" spans="1:5" ht="9.9499999999999993" customHeight="1" x14ac:dyDescent="0.25">
      <c r="A118" s="13">
        <v>41912</v>
      </c>
      <c r="B118" s="7">
        <v>0.33154102326789642</v>
      </c>
      <c r="C118" s="8">
        <f t="shared" si="2"/>
        <v>0.10991945010952384</v>
      </c>
      <c r="D118" s="8">
        <f>SQRT(AVERAGE(C$2:C118))</f>
        <v>2.2788187114956271</v>
      </c>
      <c r="E118" s="9">
        <f t="shared" si="3"/>
        <v>0.14548810820071792</v>
      </c>
    </row>
    <row r="119" spans="1:5" ht="9.9499999999999993" customHeight="1" x14ac:dyDescent="0.25">
      <c r="A119" s="13">
        <v>41943</v>
      </c>
      <c r="B119" s="7">
        <v>1.0233006837079259</v>
      </c>
      <c r="C119" s="8">
        <f t="shared" si="2"/>
        <v>1.0471442892771086</v>
      </c>
      <c r="D119" s="8">
        <f>SQRT(AVERAGE(C$2:C119))</f>
        <v>2.2710967008668161</v>
      </c>
      <c r="E119" s="9">
        <f t="shared" si="3"/>
        <v>0.45057556700133455</v>
      </c>
    </row>
    <row r="120" spans="1:5" ht="9.9499999999999993" customHeight="1" x14ac:dyDescent="0.25">
      <c r="A120" s="13">
        <v>41973</v>
      </c>
      <c r="B120" s="7">
        <v>-1.846032627318678</v>
      </c>
      <c r="C120" s="8">
        <f t="shared" si="2"/>
        <v>3.4078364611251013</v>
      </c>
      <c r="D120" s="8">
        <f>SQRT(AVERAGE(C$2:C120))</f>
        <v>2.2678566918070819</v>
      </c>
      <c r="E120" s="9">
        <f t="shared" si="3"/>
        <v>-0.81399880071245401</v>
      </c>
    </row>
    <row r="121" spans="1:5" ht="9.9499999999999993" customHeight="1" x14ac:dyDescent="0.25">
      <c r="A121" s="13">
        <v>42004</v>
      </c>
      <c r="B121" s="7">
        <v>4.4226344083718017</v>
      </c>
      <c r="C121" s="8">
        <f t="shared" si="2"/>
        <v>19.559695110114195</v>
      </c>
      <c r="D121" s="8">
        <f>SQRT(AVERAGE(C$2:C121))</f>
        <v>2.2941908487969482</v>
      </c>
      <c r="E121" s="9">
        <f t="shared" si="3"/>
        <v>1.9277534868953858</v>
      </c>
    </row>
    <row r="122" spans="1:5" ht="9.9499999999999993" customHeight="1" x14ac:dyDescent="0.25">
      <c r="A122" s="13">
        <v>42035</v>
      </c>
      <c r="B122" s="7">
        <v>0.21388797351829239</v>
      </c>
      <c r="C122" s="8">
        <f t="shared" si="2"/>
        <v>4.5748065215761746E-2</v>
      </c>
      <c r="D122" s="8">
        <f>SQRT(AVERAGE(C$2:C122))</f>
        <v>2.284773794162787</v>
      </c>
      <c r="E122" s="9">
        <f t="shared" si="3"/>
        <v>9.3614507512621251E-2</v>
      </c>
    </row>
    <row r="123" spans="1:5" ht="9.9499999999999993" customHeight="1" x14ac:dyDescent="0.25">
      <c r="A123" s="13">
        <v>42063</v>
      </c>
      <c r="B123" s="7">
        <v>-2.2491152253537492</v>
      </c>
      <c r="C123" s="8">
        <f t="shared" si="2"/>
        <v>5.0585192969180461</v>
      </c>
      <c r="D123" s="8">
        <f>SQRT(AVERAGE(C$2:C123))</f>
        <v>2.2844837732445842</v>
      </c>
      <c r="E123" s="9">
        <f t="shared" si="3"/>
        <v>-0.98451792553527218</v>
      </c>
    </row>
    <row r="124" spans="1:5" ht="9.9499999999999993" customHeight="1" x14ac:dyDescent="0.25">
      <c r="A124" s="13">
        <v>42094</v>
      </c>
      <c r="B124" s="7">
        <v>1.479262017907051</v>
      </c>
      <c r="C124" s="8">
        <f t="shared" si="2"/>
        <v>2.1882161176224404</v>
      </c>
      <c r="D124" s="8">
        <f>SQRT(AVERAGE(C$2:C124))</f>
        <v>2.2790846143536894</v>
      </c>
      <c r="E124" s="9">
        <f t="shared" si="3"/>
        <v>0.64905971835826082</v>
      </c>
    </row>
    <row r="125" spans="1:5" ht="9.9499999999999993" customHeight="1" x14ac:dyDescent="0.25">
      <c r="A125" s="13">
        <v>42124</v>
      </c>
      <c r="B125" s="7">
        <v>4.1845105661266881</v>
      </c>
      <c r="C125" s="8">
        <f t="shared" si="2"/>
        <v>17.510128678025897</v>
      </c>
      <c r="D125" s="8">
        <f>SQRT(AVERAGE(C$2:C125))</f>
        <v>2.3007712771362856</v>
      </c>
      <c r="E125" s="9">
        <f t="shared" si="3"/>
        <v>1.81874252678217</v>
      </c>
    </row>
    <row r="126" spans="1:5" ht="9.9499999999999993" customHeight="1" x14ac:dyDescent="0.25">
      <c r="A126" s="13">
        <v>42155</v>
      </c>
      <c r="B126" s="7">
        <v>-0.94915598201291251</v>
      </c>
      <c r="C126" s="8">
        <f t="shared" si="2"/>
        <v>0.90089707819089626</v>
      </c>
      <c r="D126" s="8">
        <f>SQRT(AVERAGE(C$2:C126))</f>
        <v>2.293121727811958</v>
      </c>
      <c r="E126" s="9">
        <f t="shared" si="3"/>
        <v>-0.41391434676194644</v>
      </c>
    </row>
    <row r="127" spans="1:5" ht="9.9499999999999993" customHeight="1" x14ac:dyDescent="0.25">
      <c r="A127" s="13">
        <v>42185</v>
      </c>
      <c r="B127" s="7">
        <v>0.32381633078130351</v>
      </c>
      <c r="C127" s="8">
        <f t="shared" si="2"/>
        <v>0.10485701608066657</v>
      </c>
      <c r="D127" s="8">
        <f>SQRT(AVERAGE(C$2:C127))</f>
        <v>2.2841860839613406</v>
      </c>
      <c r="E127" s="9">
        <f t="shared" si="3"/>
        <v>0.14176442674921053</v>
      </c>
    </row>
    <row r="128" spans="1:5" ht="9.9499999999999993" customHeight="1" x14ac:dyDescent="0.25">
      <c r="A128" s="13">
        <v>42216</v>
      </c>
      <c r="B128" s="7">
        <v>3.6180848247465152</v>
      </c>
      <c r="C128" s="8">
        <f t="shared" si="2"/>
        <v>13.090537799061021</v>
      </c>
      <c r="D128" s="8">
        <f>SQRT(AVERAGE(C$2:C128))</f>
        <v>2.2977159184747444</v>
      </c>
      <c r="E128" s="9">
        <f t="shared" si="3"/>
        <v>1.5746441044584178</v>
      </c>
    </row>
    <row r="129" spans="1:5" ht="9.9499999999999993" customHeight="1" x14ac:dyDescent="0.25">
      <c r="A129" s="13">
        <v>42247</v>
      </c>
      <c r="B129" s="7">
        <v>-0.91214541269879357</v>
      </c>
      <c r="C129" s="8">
        <f t="shared" si="2"/>
        <v>0.8320092539074524</v>
      </c>
      <c r="D129" s="8">
        <f>SQRT(AVERAGE(C$2:C129))</f>
        <v>2.2901424481307204</v>
      </c>
      <c r="E129" s="9">
        <f t="shared" si="3"/>
        <v>-0.39829199857996284</v>
      </c>
    </row>
    <row r="130" spans="1:5" ht="9.9499999999999993" customHeight="1" x14ac:dyDescent="0.25">
      <c r="A130" s="13">
        <v>42277</v>
      </c>
      <c r="B130" s="7">
        <v>0.43387668500723481</v>
      </c>
      <c r="C130" s="8">
        <f t="shared" si="2"/>
        <v>0.18824897779286726</v>
      </c>
      <c r="D130" s="8">
        <f>SQRT(AVERAGE(C$2:C130))</f>
        <v>2.2815684805696947</v>
      </c>
      <c r="E130" s="9">
        <f t="shared" si="3"/>
        <v>0.19016597077940797</v>
      </c>
    </row>
    <row r="131" spans="1:5" ht="9.9499999999999993" customHeight="1" x14ac:dyDescent="0.25">
      <c r="A131" s="13">
        <v>42308</v>
      </c>
      <c r="B131" s="7">
        <v>0.52970538178624493</v>
      </c>
      <c r="C131" s="8">
        <f t="shared" ref="C131:C194" si="4">B131^2</f>
        <v>0.28058779149331148</v>
      </c>
      <c r="D131" s="8">
        <f>SQRT(AVERAGE(C$2:C131))</f>
        <v>2.2732510575059472</v>
      </c>
      <c r="E131" s="9">
        <f t="shared" ref="E131:E194" si="5">B131/D131</f>
        <v>0.23301666572956564</v>
      </c>
    </row>
    <row r="132" spans="1:5" ht="9.9499999999999993" customHeight="1" x14ac:dyDescent="0.25">
      <c r="A132" s="13">
        <v>42338</v>
      </c>
      <c r="B132" s="7">
        <v>1.1879819749917191</v>
      </c>
      <c r="C132" s="8">
        <f t="shared" si="4"/>
        <v>1.4113011729052254</v>
      </c>
      <c r="D132" s="8">
        <f>SQRT(AVERAGE(C$2:C132))</f>
        <v>2.2669353313283627</v>
      </c>
      <c r="E132" s="9">
        <f t="shared" si="5"/>
        <v>0.52404758026140685</v>
      </c>
    </row>
    <row r="133" spans="1:5" ht="9.9499999999999993" customHeight="1" x14ac:dyDescent="0.25">
      <c r="A133" s="13">
        <v>42369</v>
      </c>
      <c r="B133" s="7">
        <v>0.70949629961729221</v>
      </c>
      <c r="C133" s="8">
        <f t="shared" si="4"/>
        <v>0.50338499917063051</v>
      </c>
      <c r="D133" s="8">
        <f>SQRT(AVERAGE(C$2:C133))</f>
        <v>2.2591762952034689</v>
      </c>
      <c r="E133" s="9">
        <f t="shared" si="5"/>
        <v>0.31405087824427291</v>
      </c>
    </row>
    <row r="134" spans="1:5" ht="9.9499999999999993" customHeight="1" x14ac:dyDescent="0.25">
      <c r="A134" s="13">
        <v>42400</v>
      </c>
      <c r="B134" s="7">
        <v>0.54182987026618024</v>
      </c>
      <c r="C134" s="8">
        <f t="shared" si="4"/>
        <v>0.29357960831266572</v>
      </c>
      <c r="D134" s="8">
        <f>SQRT(AVERAGE(C$2:C134))</f>
        <v>2.251157453231921</v>
      </c>
      <c r="E134" s="9">
        <f t="shared" si="5"/>
        <v>0.24068945932159963</v>
      </c>
    </row>
    <row r="135" spans="1:5" ht="9.9499999999999993" customHeight="1" x14ac:dyDescent="0.25">
      <c r="A135" s="13">
        <v>42429</v>
      </c>
      <c r="B135" s="7">
        <v>2.1343236154701311</v>
      </c>
      <c r="C135" s="8">
        <f t="shared" si="4"/>
        <v>4.5553372955534916</v>
      </c>
      <c r="D135" s="8">
        <f>SQRT(AVERAGE(C$2:C135))</f>
        <v>2.2503080240811379</v>
      </c>
      <c r="E135" s="9">
        <f t="shared" si="5"/>
        <v>0.94845842997055196</v>
      </c>
    </row>
    <row r="136" spans="1:5" ht="9.9499999999999993" customHeight="1" x14ac:dyDescent="0.25">
      <c r="A136" s="13">
        <v>42460</v>
      </c>
      <c r="B136" s="7">
        <v>-0.88331367949916029</v>
      </c>
      <c r="C136" s="8">
        <f t="shared" si="4"/>
        <v>0.7802430563903453</v>
      </c>
      <c r="D136" s="8">
        <f>SQRT(AVERAGE(C$2:C136))</f>
        <v>2.2432466456605393</v>
      </c>
      <c r="E136" s="9">
        <f t="shared" si="5"/>
        <v>-0.39376574181349661</v>
      </c>
    </row>
    <row r="137" spans="1:5" ht="9.9499999999999993" customHeight="1" x14ac:dyDescent="0.25">
      <c r="A137" s="13">
        <v>42490</v>
      </c>
      <c r="B137" s="7">
        <v>1.132901589508813</v>
      </c>
      <c r="C137" s="8">
        <f t="shared" si="4"/>
        <v>1.283466011511595</v>
      </c>
      <c r="D137" s="8">
        <f>SQRT(AVERAGE(C$2:C137))</f>
        <v>2.2370944593092172</v>
      </c>
      <c r="E137" s="9">
        <f t="shared" si="5"/>
        <v>0.506416519335816</v>
      </c>
    </row>
    <row r="138" spans="1:5" ht="9.9499999999999993" customHeight="1" x14ac:dyDescent="0.25">
      <c r="A138" s="13">
        <v>42521</v>
      </c>
      <c r="B138" s="7">
        <v>-0.55401235730276321</v>
      </c>
      <c r="C138" s="8">
        <f t="shared" si="4"/>
        <v>0.30692969204416459</v>
      </c>
      <c r="D138" s="8">
        <f>SQRT(AVERAGE(C$2:C138))</f>
        <v>2.2294174388725789</v>
      </c>
      <c r="E138" s="9">
        <f t="shared" si="5"/>
        <v>-0.24850095259994398</v>
      </c>
    </row>
    <row r="139" spans="1:5" ht="9.9499999999999993" customHeight="1" x14ac:dyDescent="0.25">
      <c r="A139" s="13">
        <v>42551</v>
      </c>
      <c r="B139" s="7">
        <v>0.82815904214064162</v>
      </c>
      <c r="C139" s="8">
        <f t="shared" si="4"/>
        <v>0.68584739907930503</v>
      </c>
      <c r="D139" s="8">
        <f>SQRT(AVERAGE(C$2:C139))</f>
        <v>2.2224435523613915</v>
      </c>
      <c r="E139" s="9">
        <f t="shared" si="5"/>
        <v>0.37263445510717508</v>
      </c>
    </row>
    <row r="140" spans="1:5" ht="9.9499999999999993" customHeight="1" x14ac:dyDescent="0.25">
      <c r="A140" s="13">
        <v>42582</v>
      </c>
      <c r="B140" s="7">
        <v>1.1367942684996331</v>
      </c>
      <c r="C140" s="8">
        <f t="shared" si="4"/>
        <v>1.2923012088936159</v>
      </c>
      <c r="D140" s="8">
        <f>SQRT(AVERAGE(C$2:C140))</f>
        <v>2.2165329375689686</v>
      </c>
      <c r="E140" s="9">
        <f t="shared" si="5"/>
        <v>0.51287046054295826</v>
      </c>
    </row>
    <row r="141" spans="1:5" ht="9.9499999999999993" customHeight="1" x14ac:dyDescent="0.25">
      <c r="A141" s="13">
        <v>42613</v>
      </c>
      <c r="B141" s="7">
        <v>-0.16562070306872989</v>
      </c>
      <c r="C141" s="8">
        <f t="shared" si="4"/>
        <v>2.7430217284980393E-2</v>
      </c>
      <c r="D141" s="8">
        <f>SQRT(AVERAGE(C$2:C141))</f>
        <v>2.2086469174262295</v>
      </c>
      <c r="E141" s="9">
        <f t="shared" si="5"/>
        <v>-7.4987405982360575E-2</v>
      </c>
    </row>
    <row r="142" spans="1:5" ht="9.9499999999999993" customHeight="1" x14ac:dyDescent="0.25">
      <c r="A142" s="13">
        <v>42643</v>
      </c>
      <c r="B142" s="7">
        <v>1.1135365727076021</v>
      </c>
      <c r="C142" s="8">
        <f t="shared" si="4"/>
        <v>1.2399636987573928</v>
      </c>
      <c r="D142" s="8">
        <f>SQRT(AVERAGE(C$2:C142))</f>
        <v>2.2027979186355351</v>
      </c>
      <c r="E142" s="9">
        <f t="shared" si="5"/>
        <v>0.50551008936732289</v>
      </c>
    </row>
    <row r="143" spans="1:5" ht="9.9499999999999993" customHeight="1" x14ac:dyDescent="0.25">
      <c r="A143" s="13">
        <v>42674</v>
      </c>
      <c r="B143" s="7">
        <v>1.734607239149512</v>
      </c>
      <c r="C143" s="8">
        <f t="shared" si="4"/>
        <v>3.0088622741098923</v>
      </c>
      <c r="D143" s="8">
        <f>SQRT(AVERAGE(C$2:C143))</f>
        <v>2.1998492182528362</v>
      </c>
      <c r="E143" s="9">
        <f t="shared" si="5"/>
        <v>0.78851187834008518</v>
      </c>
    </row>
    <row r="144" spans="1:5" ht="9.9499999999999993" customHeight="1" x14ac:dyDescent="0.25">
      <c r="A144" s="13">
        <v>42704</v>
      </c>
      <c r="B144" s="7">
        <v>0.84048596570989087</v>
      </c>
      <c r="C144" s="8">
        <f t="shared" si="4"/>
        <v>0.7064166585552879</v>
      </c>
      <c r="D144" s="8">
        <f>SQRT(AVERAGE(C$2:C144))</f>
        <v>2.1932703994524028</v>
      </c>
      <c r="E144" s="9">
        <f t="shared" si="5"/>
        <v>0.38321128389811687</v>
      </c>
    </row>
    <row r="145" spans="1:5" ht="9.9499999999999993" customHeight="1" x14ac:dyDescent="0.25">
      <c r="A145" s="13">
        <v>42735</v>
      </c>
      <c r="B145" s="7">
        <v>1.314477032768486</v>
      </c>
      <c r="C145" s="8">
        <f t="shared" si="4"/>
        <v>1.7278498696758435</v>
      </c>
      <c r="D145" s="8">
        <f>SQRT(AVERAGE(C$2:C145))</f>
        <v>2.1883848390120972</v>
      </c>
      <c r="E145" s="9">
        <f t="shared" si="5"/>
        <v>0.60066082040756619</v>
      </c>
    </row>
    <row r="146" spans="1:5" ht="9.9499999999999993" customHeight="1" x14ac:dyDescent="0.25">
      <c r="A146" s="13">
        <v>42766</v>
      </c>
      <c r="B146" s="7">
        <v>9.08597347492901E-2</v>
      </c>
      <c r="C146" s="8">
        <f t="shared" si="4"/>
        <v>8.2554913987113541E-3</v>
      </c>
      <c r="D146" s="8">
        <f>SQRT(AVERAGE(C$2:C146))</f>
        <v>2.1808386820961418</v>
      </c>
      <c r="E146" s="9">
        <f t="shared" si="5"/>
        <v>4.1662749058522325E-2</v>
      </c>
    </row>
    <row r="147" spans="1:5" ht="9.9499999999999993" customHeight="1" x14ac:dyDescent="0.25">
      <c r="A147" s="13">
        <v>42794</v>
      </c>
      <c r="B147" s="7">
        <v>3.072705919184862</v>
      </c>
      <c r="C147" s="8">
        <f t="shared" si="4"/>
        <v>9.4415216657936885</v>
      </c>
      <c r="D147" s="8">
        <f>SQRT(AVERAGE(C$2:C147))</f>
        <v>2.1881840824340406</v>
      </c>
      <c r="E147" s="9">
        <f t="shared" si="5"/>
        <v>1.4042264285950374</v>
      </c>
    </row>
    <row r="148" spans="1:5" ht="9.9499999999999993" customHeight="1" x14ac:dyDescent="0.25">
      <c r="A148" s="13">
        <v>42825</v>
      </c>
      <c r="B148" s="7">
        <v>0.94590850705024088</v>
      </c>
      <c r="C148" s="8">
        <f t="shared" si="4"/>
        <v>0.89474290371001564</v>
      </c>
      <c r="D148" s="8">
        <f>SQRT(AVERAGE(C$2:C148))</f>
        <v>2.1821236946892943</v>
      </c>
      <c r="E148" s="9">
        <f t="shared" si="5"/>
        <v>0.43348070017860552</v>
      </c>
    </row>
    <row r="149" spans="1:5" ht="9.9499999999999993" customHeight="1" x14ac:dyDescent="0.25">
      <c r="A149" s="13">
        <v>42855</v>
      </c>
      <c r="B149" s="7">
        <v>0.41268196994830908</v>
      </c>
      <c r="C149" s="8">
        <f t="shared" si="4"/>
        <v>0.17030640832041707</v>
      </c>
      <c r="D149" s="8">
        <f>SQRT(AVERAGE(C$2:C149))</f>
        <v>2.1750037088974521</v>
      </c>
      <c r="E149" s="9">
        <f t="shared" si="5"/>
        <v>0.18973851320810156</v>
      </c>
    </row>
    <row r="150" spans="1:5" ht="9.9499999999999993" customHeight="1" x14ac:dyDescent="0.25">
      <c r="A150" s="13">
        <v>42886</v>
      </c>
      <c r="B150" s="7">
        <v>0.54028636095307703</v>
      </c>
      <c r="C150" s="8">
        <f t="shared" si="4"/>
        <v>0.29190935183191863</v>
      </c>
      <c r="D150" s="8">
        <f>SQRT(AVERAGE(C$2:C150))</f>
        <v>2.168144595623299</v>
      </c>
      <c r="E150" s="9">
        <f t="shared" si="5"/>
        <v>0.24919295606193428</v>
      </c>
    </row>
    <row r="151" spans="1:5" ht="9.9499999999999993" customHeight="1" x14ac:dyDescent="0.25">
      <c r="A151" s="13">
        <v>42916</v>
      </c>
      <c r="B151" s="7">
        <v>2.6926186212012309</v>
      </c>
      <c r="C151" s="8">
        <f t="shared" si="4"/>
        <v>7.2501950392396175</v>
      </c>
      <c r="D151" s="8">
        <f>SQRT(AVERAGE(C$2:C151))</f>
        <v>2.1720604537033292</v>
      </c>
      <c r="E151" s="9">
        <f t="shared" si="5"/>
        <v>1.2396609940622776</v>
      </c>
    </row>
    <row r="152" spans="1:5" ht="9.9499999999999993" customHeight="1" x14ac:dyDescent="0.25">
      <c r="A152" s="13">
        <v>42947</v>
      </c>
      <c r="B152" s="7">
        <v>-0.39541747976802433</v>
      </c>
      <c r="C152" s="8">
        <f t="shared" si="4"/>
        <v>0.15635498330609593</v>
      </c>
      <c r="D152" s="8">
        <f>SQRT(AVERAGE(C$2:C152))</f>
        <v>2.1650953929775634</v>
      </c>
      <c r="E152" s="9">
        <f t="shared" si="5"/>
        <v>-0.18263282119141344</v>
      </c>
    </row>
    <row r="153" spans="1:5" ht="9.9499999999999993" customHeight="1" x14ac:dyDescent="0.25">
      <c r="A153" s="13">
        <v>42978</v>
      </c>
      <c r="B153" s="7">
        <v>1.135195720758662</v>
      </c>
      <c r="C153" s="8">
        <f t="shared" si="4"/>
        <v>1.2886693244287781</v>
      </c>
      <c r="D153" s="8">
        <f>SQRT(AVERAGE(C$2:C153))</f>
        <v>2.1599250969118997</v>
      </c>
      <c r="E153" s="9">
        <f t="shared" si="5"/>
        <v>0.52557179986550484</v>
      </c>
    </row>
    <row r="154" spans="1:5" ht="9.9499999999999993" customHeight="1" x14ac:dyDescent="0.25">
      <c r="A154" s="13">
        <v>43008</v>
      </c>
      <c r="B154" s="7">
        <v>2.1089364206507559</v>
      </c>
      <c r="C154" s="8">
        <f t="shared" si="4"/>
        <v>4.4476128263472221</v>
      </c>
      <c r="D154" s="8">
        <f>SQRT(AVERAGE(C$2:C154))</f>
        <v>2.1595957460540993</v>
      </c>
      <c r="E154" s="9">
        <f t="shared" si="5"/>
        <v>0.97654221837771926</v>
      </c>
    </row>
    <row r="155" spans="1:5" ht="9.9499999999999993" customHeight="1" x14ac:dyDescent="0.25">
      <c r="A155" s="13">
        <v>43039</v>
      </c>
      <c r="B155" s="7">
        <v>2.221891034126362</v>
      </c>
      <c r="C155" s="8">
        <f t="shared" si="4"/>
        <v>4.9367997675311148</v>
      </c>
      <c r="D155" s="8">
        <f>SQRT(AVERAGE(C$2:C155))</f>
        <v>2.1600060562128003</v>
      </c>
      <c r="E155" s="9">
        <f t="shared" si="5"/>
        <v>1.0286503724077822</v>
      </c>
    </row>
    <row r="156" spans="1:5" ht="9.9499999999999993" customHeight="1" x14ac:dyDescent="0.25">
      <c r="A156" s="13">
        <v>43069</v>
      </c>
      <c r="B156" s="7">
        <v>2.544606998163252</v>
      </c>
      <c r="C156" s="8">
        <f t="shared" si="4"/>
        <v>6.4750247751013958</v>
      </c>
      <c r="D156" s="8">
        <f>SQRT(AVERAGE(C$2:C156))</f>
        <v>2.1627065687026725</v>
      </c>
      <c r="E156" s="9">
        <f t="shared" si="5"/>
        <v>1.176584486766352</v>
      </c>
    </row>
    <row r="157" spans="1:5" ht="9.9499999999999993" customHeight="1" x14ac:dyDescent="0.25">
      <c r="A157" s="13">
        <v>43100</v>
      </c>
      <c r="B157" s="7">
        <v>-1.0528644722470519</v>
      </c>
      <c r="C157" s="8">
        <f t="shared" si="4"/>
        <v>1.1085235969200631</v>
      </c>
      <c r="D157" s="8">
        <f>SQRT(AVERAGE(C$2:C157))</f>
        <v>2.1574111644291043</v>
      </c>
      <c r="E157" s="9">
        <f t="shared" si="5"/>
        <v>-0.4880221673116546</v>
      </c>
    </row>
    <row r="158" spans="1:5" ht="9.9499999999999993" customHeight="1" x14ac:dyDescent="0.25">
      <c r="A158" s="13">
        <v>43131</v>
      </c>
      <c r="B158" s="7">
        <v>0.90403516780283855</v>
      </c>
      <c r="C158" s="8">
        <f t="shared" si="4"/>
        <v>0.8172795846243065</v>
      </c>
      <c r="D158" s="8">
        <f>SQRT(AVERAGE(C$2:C158))</f>
        <v>2.1517394193801223</v>
      </c>
      <c r="E158" s="9">
        <f t="shared" si="5"/>
        <v>0.42014156531243685</v>
      </c>
    </row>
    <row r="159" spans="1:5" ht="9.9499999999999993" customHeight="1" x14ac:dyDescent="0.25">
      <c r="A159" s="13">
        <v>43159</v>
      </c>
      <c r="B159" s="7">
        <v>2.167185161310532</v>
      </c>
      <c r="C159" s="8">
        <f t="shared" si="4"/>
        <v>4.6966915234045565</v>
      </c>
      <c r="D159" s="8">
        <f>SQRT(AVERAGE(C$2:C159))</f>
        <v>2.1518375258695053</v>
      </c>
      <c r="E159" s="9">
        <f t="shared" si="5"/>
        <v>1.0071323393409199</v>
      </c>
    </row>
    <row r="160" spans="1:5" ht="9.9499999999999993" customHeight="1" x14ac:dyDescent="0.25">
      <c r="A160" s="13">
        <v>43190</v>
      </c>
      <c r="B160" s="7">
        <v>1.1592214742470801</v>
      </c>
      <c r="C160" s="8">
        <f t="shared" si="4"/>
        <v>1.3437944263555739</v>
      </c>
      <c r="D160" s="8">
        <f>SQRT(AVERAGE(C$2:C160))</f>
        <v>2.1470291643657626</v>
      </c>
      <c r="E160" s="9">
        <f t="shared" si="5"/>
        <v>0.53991882992866413</v>
      </c>
    </row>
    <row r="161" spans="1:5" ht="9.9499999999999993" customHeight="1" x14ac:dyDescent="0.25">
      <c r="A161" s="13">
        <v>43220</v>
      </c>
      <c r="B161" s="7">
        <v>1.7519853097878419</v>
      </c>
      <c r="C161" s="8">
        <f t="shared" si="4"/>
        <v>3.0694525257124003</v>
      </c>
      <c r="D161" s="8">
        <f>SQRT(AVERAGE(C$2:C161))</f>
        <v>2.1447861133383128</v>
      </c>
      <c r="E161" s="9">
        <f t="shared" si="5"/>
        <v>0.81685782041031352</v>
      </c>
    </row>
    <row r="162" spans="1:5" ht="9.9499999999999993" customHeight="1" x14ac:dyDescent="0.25">
      <c r="A162" s="13">
        <v>43251</v>
      </c>
      <c r="B162" s="7">
        <v>2.7891254750681171</v>
      </c>
      <c r="C162" s="8">
        <f t="shared" si="4"/>
        <v>7.7792209156739505</v>
      </c>
      <c r="D162" s="8">
        <f>SQRT(AVERAGE(C$2:C162))</f>
        <v>2.1493844510005786</v>
      </c>
      <c r="E162" s="9">
        <f t="shared" si="5"/>
        <v>1.2976391793332864</v>
      </c>
    </row>
    <row r="163" spans="1:5" ht="9.9499999999999993" customHeight="1" x14ac:dyDescent="0.25">
      <c r="A163" s="13">
        <v>43281</v>
      </c>
      <c r="B163" s="7">
        <v>-0.99427166397779332</v>
      </c>
      <c r="C163" s="8">
        <f t="shared" si="4"/>
        <v>0.98857614178916997</v>
      </c>
      <c r="D163" s="8">
        <f>SQRT(AVERAGE(C$2:C163))</f>
        <v>2.1441637590809286</v>
      </c>
      <c r="E163" s="9">
        <f t="shared" si="5"/>
        <v>-0.46371069362909884</v>
      </c>
    </row>
    <row r="164" spans="1:5" ht="9.9499999999999993" customHeight="1" x14ac:dyDescent="0.25">
      <c r="A164" s="13">
        <v>43312</v>
      </c>
      <c r="B164" s="7">
        <v>1.216431949159859</v>
      </c>
      <c r="C164" s="8">
        <f t="shared" si="4"/>
        <v>1.4797066869368538</v>
      </c>
      <c r="D164" s="8">
        <f>SQRT(AVERAGE(C$2:C164))</f>
        <v>2.1396988195541304</v>
      </c>
      <c r="E164" s="9">
        <f t="shared" si="5"/>
        <v>0.56850615518558756</v>
      </c>
    </row>
    <row r="165" spans="1:5" ht="9.9499999999999993" customHeight="1" x14ac:dyDescent="0.25">
      <c r="A165" s="13">
        <v>43343</v>
      </c>
      <c r="B165" s="7">
        <v>-2.973030428429491E-2</v>
      </c>
      <c r="C165" s="8">
        <f t="shared" si="4"/>
        <v>8.8389099283676421E-4</v>
      </c>
      <c r="D165" s="8">
        <f>SQRT(AVERAGE(C$2:C165))</f>
        <v>2.1331666360738453</v>
      </c>
      <c r="E165" s="9">
        <f t="shared" si="5"/>
        <v>-1.3937169174469367E-2</v>
      </c>
    </row>
    <row r="166" spans="1:5" ht="9.9499999999999993" customHeight="1" x14ac:dyDescent="0.25">
      <c r="A166" s="13">
        <v>43373</v>
      </c>
      <c r="B166" s="7">
        <v>1.4745245077431179</v>
      </c>
      <c r="C166" s="8">
        <f t="shared" si="4"/>
        <v>2.1742225239350841</v>
      </c>
      <c r="D166" s="8">
        <f>SQRT(AVERAGE(C$2:C166))</f>
        <v>2.129788445425687</v>
      </c>
      <c r="E166" s="9">
        <f t="shared" si="5"/>
        <v>0.69233379066830292</v>
      </c>
    </row>
    <row r="167" spans="1:5" ht="9.9499999999999993" customHeight="1" x14ac:dyDescent="0.25">
      <c r="A167" s="13">
        <v>43404</v>
      </c>
      <c r="B167" s="7">
        <v>-0.19408132670871101</v>
      </c>
      <c r="C167" s="8">
        <f t="shared" si="4"/>
        <v>3.7667561377013423E-2</v>
      </c>
      <c r="D167" s="8">
        <f>SQRT(AVERAGE(C$2:C167))</f>
        <v>2.1234171613649204</v>
      </c>
      <c r="E167" s="9">
        <f t="shared" si="5"/>
        <v>-9.1400470072473483E-2</v>
      </c>
    </row>
    <row r="168" spans="1:5" ht="9.9499999999999993" customHeight="1" x14ac:dyDescent="0.25">
      <c r="A168" s="13">
        <v>43434</v>
      </c>
      <c r="B168" s="7">
        <v>-0.3240612917862607</v>
      </c>
      <c r="C168" s="8">
        <f t="shared" si="4"/>
        <v>0.10501572083418</v>
      </c>
      <c r="D168" s="8">
        <f>SQRT(AVERAGE(C$2:C168))</f>
        <v>2.1171985910611602</v>
      </c>
      <c r="E168" s="9">
        <f t="shared" si="5"/>
        <v>-0.15306135813355046</v>
      </c>
    </row>
    <row r="169" spans="1:5" ht="9.9499999999999993" customHeight="1" x14ac:dyDescent="0.25">
      <c r="A169" s="13">
        <v>43465</v>
      </c>
      <c r="B169" s="7">
        <v>-1.433751157673991</v>
      </c>
      <c r="C169" s="8">
        <f t="shared" si="4"/>
        <v>2.0556423821315093</v>
      </c>
      <c r="D169" s="8">
        <f>SQRT(AVERAGE(C$2:C169))</f>
        <v>2.1137843113977461</v>
      </c>
      <c r="E169" s="9">
        <f t="shared" si="5"/>
        <v>-0.6782864031789122</v>
      </c>
    </row>
    <row r="170" spans="1:5" ht="9.9499999999999993" customHeight="1" x14ac:dyDescent="0.25">
      <c r="A170" s="13">
        <v>43496</v>
      </c>
      <c r="B170" s="7">
        <v>3.7960941889252791</v>
      </c>
      <c r="C170" s="8">
        <f t="shared" si="4"/>
        <v>14.410331091192273</v>
      </c>
      <c r="D170" s="8">
        <f>SQRT(AVERAGE(C$2:C170))</f>
        <v>2.1276545722637961</v>
      </c>
      <c r="E170" s="9">
        <f t="shared" si="5"/>
        <v>1.784168463439197</v>
      </c>
    </row>
    <row r="171" spans="1:5" ht="9.9499999999999993" customHeight="1" x14ac:dyDescent="0.25">
      <c r="A171" s="13">
        <v>43524</v>
      </c>
      <c r="B171" s="7">
        <v>-1.8027008980630299</v>
      </c>
      <c r="C171" s="8">
        <f t="shared" si="4"/>
        <v>3.2497305278772544</v>
      </c>
      <c r="D171" s="8">
        <f>SQRT(AVERAGE(C$2:C171))</f>
        <v>2.1258883166915514</v>
      </c>
      <c r="E171" s="9">
        <f t="shared" si="5"/>
        <v>-0.8479753540715218</v>
      </c>
    </row>
    <row r="172" spans="1:5" ht="9.9499999999999993" customHeight="1" x14ac:dyDescent="0.25">
      <c r="A172" s="13">
        <v>43555</v>
      </c>
      <c r="B172" s="7">
        <v>2.9458890265427962</v>
      </c>
      <c r="C172" s="8">
        <f t="shared" si="4"/>
        <v>8.678262156705264</v>
      </c>
      <c r="D172" s="8">
        <f>SQRT(AVERAGE(C$2:C172))</f>
        <v>2.1316007974603748</v>
      </c>
      <c r="E172" s="9">
        <f t="shared" si="5"/>
        <v>1.3820078459590455</v>
      </c>
    </row>
    <row r="173" spans="1:5" ht="9.9499999999999993" customHeight="1" x14ac:dyDescent="0.25">
      <c r="A173" s="13">
        <v>43585</v>
      </c>
      <c r="B173" s="7">
        <v>0.41283023254694751</v>
      </c>
      <c r="C173" s="8">
        <f t="shared" si="4"/>
        <v>0.17042880090476675</v>
      </c>
      <c r="D173" s="8">
        <f>SQRT(AVERAGE(C$2:C173))</f>
        <v>2.1256283392722395</v>
      </c>
      <c r="E173" s="9">
        <f t="shared" si="5"/>
        <v>0.19421562317347066</v>
      </c>
    </row>
    <row r="174" spans="1:5" ht="9.9499999999999993" customHeight="1" x14ac:dyDescent="0.25">
      <c r="A174" s="13">
        <v>43616</v>
      </c>
      <c r="B174" s="7">
        <v>0.40547061464457068</v>
      </c>
      <c r="C174" s="8">
        <f t="shared" si="4"/>
        <v>0.16440641934024594</v>
      </c>
      <c r="D174" s="8">
        <f>SQRT(AVERAGE(C$2:C174))</f>
        <v>2.1197001782953571</v>
      </c>
      <c r="E174" s="9">
        <f t="shared" si="5"/>
        <v>0.19128677668492075</v>
      </c>
    </row>
    <row r="175" spans="1:5" ht="9.9499999999999993" customHeight="1" x14ac:dyDescent="0.25">
      <c r="A175" s="13">
        <v>43646</v>
      </c>
      <c r="B175" s="7">
        <v>1.679060202027121</v>
      </c>
      <c r="C175" s="8">
        <f t="shared" si="4"/>
        <v>2.8192431620313565</v>
      </c>
      <c r="D175" s="8">
        <f>SQRT(AVERAGE(C$2:C175))</f>
        <v>2.117429765824514</v>
      </c>
      <c r="E175" s="9">
        <f t="shared" si="5"/>
        <v>0.79297090705311091</v>
      </c>
    </row>
    <row r="176" spans="1:5" ht="9.9499999999999993" customHeight="1" x14ac:dyDescent="0.25">
      <c r="A176" s="13">
        <v>43677</v>
      </c>
      <c r="B176" s="7">
        <v>-0.28751788860866662</v>
      </c>
      <c r="C176" s="8">
        <f t="shared" si="4"/>
        <v>8.266653626998563E-2</v>
      </c>
      <c r="D176" s="8">
        <f>SQRT(AVERAGE(C$2:C176))</f>
        <v>2.1114831619138648</v>
      </c>
      <c r="E176" s="9">
        <f t="shared" si="5"/>
        <v>-0.13616868644505703</v>
      </c>
    </row>
    <row r="177" spans="1:5" ht="9.9499999999999993" customHeight="1" x14ac:dyDescent="0.25">
      <c r="A177" s="13">
        <v>43708</v>
      </c>
      <c r="B177" s="7">
        <v>2.4006177956095049</v>
      </c>
      <c r="C177" s="8">
        <f t="shared" si="4"/>
        <v>5.7629658005970388</v>
      </c>
      <c r="D177" s="8">
        <f>SQRT(AVERAGE(C$2:C177))</f>
        <v>2.1132377219586851</v>
      </c>
      <c r="E177" s="9">
        <f t="shared" si="5"/>
        <v>1.1359904144548667</v>
      </c>
    </row>
    <row r="178" spans="1:5" ht="9.9499999999999993" customHeight="1" x14ac:dyDescent="0.25">
      <c r="A178" s="13">
        <v>43738</v>
      </c>
      <c r="B178" s="7">
        <v>0.38879075139222508</v>
      </c>
      <c r="C178" s="8">
        <f t="shared" si="4"/>
        <v>0.15115824836813097</v>
      </c>
      <c r="D178" s="8">
        <f>SQRT(AVERAGE(C$2:C178))</f>
        <v>2.1074622917617294</v>
      </c>
      <c r="E178" s="9">
        <f t="shared" si="5"/>
        <v>0.18448289818140287</v>
      </c>
    </row>
    <row r="179" spans="1:5" ht="9.9499999999999993" customHeight="1" x14ac:dyDescent="0.25">
      <c r="A179" s="13">
        <v>43769</v>
      </c>
      <c r="B179" s="7">
        <v>0.1736335294398014</v>
      </c>
      <c r="C179" s="8">
        <f t="shared" si="4"/>
        <v>3.0148602545722381E-2</v>
      </c>
      <c r="D179" s="8">
        <f>SQRT(AVERAGE(C$2:C179))</f>
        <v>2.1015744134057162</v>
      </c>
      <c r="E179" s="9">
        <f t="shared" si="5"/>
        <v>8.2620690627089807E-2</v>
      </c>
    </row>
    <row r="180" spans="1:5" ht="9.9499999999999993" customHeight="1" x14ac:dyDescent="0.25">
      <c r="A180" s="13">
        <v>43799</v>
      </c>
      <c r="B180" s="7">
        <v>6.1464206156627503E-2</v>
      </c>
      <c r="C180" s="8">
        <f t="shared" si="4"/>
        <v>3.7778486384644062E-3</v>
      </c>
      <c r="D180" s="8">
        <f>SQRT(AVERAGE(C$2:C180))</f>
        <v>2.0957009074487081</v>
      </c>
      <c r="E180" s="9">
        <f t="shared" si="5"/>
        <v>2.932871095210509E-2</v>
      </c>
    </row>
    <row r="181" spans="1:5" ht="9.9499999999999993" customHeight="1" x14ac:dyDescent="0.25">
      <c r="A181" s="13">
        <v>43830</v>
      </c>
      <c r="B181" s="7">
        <v>1.2494101578715049</v>
      </c>
      <c r="C181" s="8">
        <f t="shared" si="4"/>
        <v>1.5610257425924987</v>
      </c>
      <c r="D181" s="8">
        <f>SQRT(AVERAGE(C$2:C181))</f>
        <v>2.0919452354683243</v>
      </c>
      <c r="E181" s="9">
        <f t="shared" si="5"/>
        <v>0.59724802384312847</v>
      </c>
    </row>
    <row r="182" spans="1:5" ht="9.9499999999999993" customHeight="1" x14ac:dyDescent="0.25">
      <c r="A182" s="13">
        <v>43861</v>
      </c>
      <c r="B182" s="7">
        <v>0.66541320476948762</v>
      </c>
      <c r="C182" s="8">
        <f t="shared" si="4"/>
        <v>0.44277473308160004</v>
      </c>
      <c r="D182" s="8">
        <f>SQRT(AVERAGE(C$2:C182))</f>
        <v>2.0867446044611451</v>
      </c>
      <c r="E182" s="9">
        <f t="shared" si="5"/>
        <v>0.31887620715392512</v>
      </c>
    </row>
    <row r="183" spans="1:5" ht="9.9499999999999993" customHeight="1" x14ac:dyDescent="0.25">
      <c r="A183" s="13">
        <v>43890</v>
      </c>
      <c r="B183" s="7">
        <v>1.56630096601841</v>
      </c>
      <c r="C183" s="8">
        <f t="shared" si="4"/>
        <v>2.4532987161502042</v>
      </c>
      <c r="D183" s="8">
        <f>SQRT(AVERAGE(C$2:C183))</f>
        <v>2.0842401173139318</v>
      </c>
      <c r="E183" s="9">
        <f t="shared" si="5"/>
        <v>0.75149736971620296</v>
      </c>
    </row>
    <row r="184" spans="1:5" ht="9.9499999999999993" customHeight="1" x14ac:dyDescent="0.25">
      <c r="A184" s="13">
        <v>43921</v>
      </c>
      <c r="B184" s="7">
        <v>-11.805968600663309</v>
      </c>
      <c r="C184" s="8">
        <f t="shared" si="4"/>
        <v>139.38089459984798</v>
      </c>
      <c r="D184" s="8">
        <f>SQRT(AVERAGE(C$2:C184))</f>
        <v>2.2543209806374627</v>
      </c>
      <c r="E184" s="9">
        <f t="shared" si="5"/>
        <v>-5.237039757011396</v>
      </c>
    </row>
    <row r="185" spans="1:5" ht="9.9499999999999993" customHeight="1" x14ac:dyDescent="0.25">
      <c r="A185" s="13">
        <v>43951</v>
      </c>
      <c r="B185" s="7">
        <v>-34.470014372463488</v>
      </c>
      <c r="C185" s="8">
        <f t="shared" si="4"/>
        <v>1188.1818908378395</v>
      </c>
      <c r="D185" s="8">
        <f>SQRT(AVERAGE(C$2:C185))</f>
        <v>3.3929123176777356</v>
      </c>
      <c r="E185" s="9">
        <f t="shared" si="5"/>
        <v>-10.159417970475683</v>
      </c>
    </row>
    <row r="186" spans="1:5" ht="9.9499999999999993" customHeight="1" x14ac:dyDescent="0.25">
      <c r="A186" s="13">
        <v>43982</v>
      </c>
      <c r="B186" s="7">
        <v>8.0579960478874781</v>
      </c>
      <c r="C186" s="8">
        <f t="shared" si="4"/>
        <v>64.931300307770215</v>
      </c>
      <c r="D186" s="8">
        <f>SQRT(AVERAGE(C$2:C186))</f>
        <v>3.4352012691106881</v>
      </c>
      <c r="E186" s="9">
        <f t="shared" si="5"/>
        <v>2.3457129340120293</v>
      </c>
    </row>
    <row r="187" spans="1:5" ht="9.9499999999999993" customHeight="1" x14ac:dyDescent="0.25">
      <c r="A187" s="13">
        <v>44012</v>
      </c>
      <c r="B187" s="7">
        <v>11.13843284055314</v>
      </c>
      <c r="C187" s="8">
        <f t="shared" si="4"/>
        <v>124.06468614351269</v>
      </c>
      <c r="D187" s="8">
        <f>SQRT(AVERAGE(C$2:C187))</f>
        <v>3.5219565688965133</v>
      </c>
      <c r="E187" s="9">
        <f t="shared" si="5"/>
        <v>3.1625696179561333</v>
      </c>
    </row>
    <row r="188" spans="1:5" ht="9.9499999999999993" customHeight="1" x14ac:dyDescent="0.25">
      <c r="A188" s="13">
        <v>44043</v>
      </c>
      <c r="B188" s="7">
        <v>6.3392660842427144</v>
      </c>
      <c r="C188" s="8">
        <f t="shared" si="4"/>
        <v>40.186294486829958</v>
      </c>
      <c r="D188" s="8">
        <f>SQRT(AVERAGE(C$2:C188))</f>
        <v>3.5429853994401252</v>
      </c>
      <c r="E188" s="9">
        <f t="shared" si="5"/>
        <v>1.7892442021478461</v>
      </c>
    </row>
    <row r="189" spans="1:5" ht="9.9499999999999993" customHeight="1" x14ac:dyDescent="0.25">
      <c r="A189" s="13">
        <v>44074</v>
      </c>
      <c r="B189" s="7">
        <v>5.3447151751255806</v>
      </c>
      <c r="C189" s="8">
        <f t="shared" si="4"/>
        <v>28.565980303217664</v>
      </c>
      <c r="D189" s="8">
        <f>SQRT(AVERAGE(C$2:C189))</f>
        <v>3.5549855585217052</v>
      </c>
      <c r="E189" s="9">
        <f t="shared" si="5"/>
        <v>1.5034421623215009</v>
      </c>
    </row>
    <row r="190" spans="1:5" ht="9.9499999999999993" customHeight="1" x14ac:dyDescent="0.25">
      <c r="A190" s="13">
        <v>44104</v>
      </c>
      <c r="B190" s="7">
        <v>2.9571045698768841</v>
      </c>
      <c r="C190" s="8">
        <f t="shared" si="4"/>
        <v>8.744467437186751</v>
      </c>
      <c r="D190" s="8">
        <f>SQRT(AVERAGE(C$2:C190))</f>
        <v>3.5520869965283453</v>
      </c>
      <c r="E190" s="9">
        <f t="shared" si="5"/>
        <v>0.8324977886991588</v>
      </c>
    </row>
    <row r="191" spans="1:5" ht="9.9499999999999993" customHeight="1" x14ac:dyDescent="0.25">
      <c r="A191" s="13">
        <v>44135</v>
      </c>
      <c r="B191" s="7">
        <v>4.5058283273136581</v>
      </c>
      <c r="C191" s="8">
        <f t="shared" si="4"/>
        <v>20.302488915222199</v>
      </c>
      <c r="D191" s="8">
        <f>SQRT(AVERAGE(C$2:C191))</f>
        <v>3.5577760297221235</v>
      </c>
      <c r="E191" s="9">
        <f t="shared" si="5"/>
        <v>1.266473293898037</v>
      </c>
    </row>
    <row r="192" spans="1:5" ht="9.9499999999999993" customHeight="1" x14ac:dyDescent="0.25">
      <c r="A192" s="13">
        <v>44165</v>
      </c>
      <c r="B192" s="7">
        <v>0.18186131155138741</v>
      </c>
      <c r="C192" s="8">
        <f t="shared" si="4"/>
        <v>3.3073536639190791E-2</v>
      </c>
      <c r="D192" s="8">
        <f>SQRT(AVERAGE(C$2:C192))</f>
        <v>3.5484746566614853</v>
      </c>
      <c r="E192" s="9">
        <f t="shared" si="5"/>
        <v>5.1250559507303388E-2</v>
      </c>
    </row>
    <row r="193" spans="1:5" ht="9.9499999999999993" customHeight="1" x14ac:dyDescent="0.25">
      <c r="A193" s="13">
        <v>44196</v>
      </c>
      <c r="B193" s="7">
        <v>1.639279456551453</v>
      </c>
      <c r="C193" s="8">
        <f t="shared" si="4"/>
        <v>2.687237136671627</v>
      </c>
      <c r="D193" s="8">
        <f>SQRT(AVERAGE(C$2:C193))</f>
        <v>3.5411984960880778</v>
      </c>
      <c r="E193" s="9">
        <f t="shared" si="5"/>
        <v>0.46291656860307229</v>
      </c>
    </row>
    <row r="194" spans="1:5" ht="9.9499999999999993" customHeight="1" x14ac:dyDescent="0.25">
      <c r="A194" s="13">
        <v>44227</v>
      </c>
      <c r="B194" s="7">
        <v>1.37515562132553</v>
      </c>
      <c r="C194" s="8">
        <f t="shared" si="4"/>
        <v>1.8910529828632046</v>
      </c>
      <c r="D194" s="8">
        <f>SQRT(AVERAGE(C$2:C194))</f>
        <v>3.5333992765796505</v>
      </c>
      <c r="E194" s="9">
        <f t="shared" si="5"/>
        <v>0.38918772368592547</v>
      </c>
    </row>
    <row r="195" spans="1:5" ht="9.9499999999999993" customHeight="1" x14ac:dyDescent="0.25">
      <c r="A195" s="13">
        <v>44255</v>
      </c>
      <c r="B195" s="7">
        <v>-2.0294732607691999</v>
      </c>
      <c r="C195" s="8">
        <f t="shared" ref="C195:C239" si="6">B195^2</f>
        <v>4.1187617161771684</v>
      </c>
      <c r="D195" s="8">
        <f>SQRT(AVERAGE(C$2:C195))</f>
        <v>3.5272915912546678</v>
      </c>
      <c r="E195" s="9">
        <f t="shared" ref="E195:E239" si="7">B195/D195</f>
        <v>-0.57536305356805229</v>
      </c>
    </row>
    <row r="196" spans="1:5" ht="9.9499999999999993" customHeight="1" x14ac:dyDescent="0.25">
      <c r="A196" s="13">
        <v>44286</v>
      </c>
      <c r="B196" s="7">
        <v>5.1658688915209057</v>
      </c>
      <c r="C196" s="8">
        <f t="shared" si="6"/>
        <v>26.686201404383432</v>
      </c>
      <c r="D196" s="8">
        <f>SQRT(AVERAGE(C$2:C196))</f>
        <v>3.5376311642137215</v>
      </c>
      <c r="E196" s="9">
        <f t="shared" si="7"/>
        <v>1.4602621504972744</v>
      </c>
    </row>
    <row r="197" spans="1:5" ht="9.9499999999999993" customHeight="1" x14ac:dyDescent="0.25">
      <c r="A197" s="13">
        <v>44316</v>
      </c>
      <c r="B197" s="7">
        <v>-0.77500344333207805</v>
      </c>
      <c r="C197" s="8">
        <f t="shared" si="6"/>
        <v>0.60063033717657754</v>
      </c>
      <c r="D197" s="8">
        <f>SQRT(AVERAGE(C$2:C197))</f>
        <v>3.5290292573650301</v>
      </c>
      <c r="E197" s="9">
        <f t="shared" si="7"/>
        <v>-0.21960810942971293</v>
      </c>
    </row>
    <row r="198" spans="1:5" ht="9.9499999999999993" customHeight="1" x14ac:dyDescent="0.25">
      <c r="A198" s="13">
        <v>44347</v>
      </c>
      <c r="B198" s="7">
        <v>1.125001626967304</v>
      </c>
      <c r="C198" s="8">
        <f t="shared" si="6"/>
        <v>1.265628660679081</v>
      </c>
      <c r="D198" s="8">
        <f>SQRT(AVERAGE(C$2:C198))</f>
        <v>3.5209733732422945</v>
      </c>
      <c r="E198" s="9">
        <f t="shared" si="7"/>
        <v>0.31951438074390898</v>
      </c>
    </row>
    <row r="199" spans="1:5" ht="9.9499999999999993" customHeight="1" x14ac:dyDescent="0.25">
      <c r="A199" s="13">
        <v>44377</v>
      </c>
      <c r="B199" s="7">
        <v>0.19201072845960901</v>
      </c>
      <c r="C199" s="8">
        <f t="shared" si="6"/>
        <v>3.6868119843589703E-2</v>
      </c>
      <c r="D199" s="8">
        <f>SQRT(AVERAGE(C$2:C199))</f>
        <v>3.5120972803038071</v>
      </c>
      <c r="E199" s="9">
        <f t="shared" si="7"/>
        <v>5.467124431217335E-2</v>
      </c>
    </row>
    <row r="200" spans="1:5" ht="9.9499999999999993" customHeight="1" x14ac:dyDescent="0.25">
      <c r="A200" s="13">
        <v>44408</v>
      </c>
      <c r="B200" s="7">
        <v>2.4132422236801609</v>
      </c>
      <c r="C200" s="8">
        <f t="shared" si="6"/>
        <v>5.8237380301527679</v>
      </c>
      <c r="D200" s="8">
        <f>SQRT(AVERAGE(C$2:C200))</f>
        <v>3.5074361383678294</v>
      </c>
      <c r="E200" s="9">
        <f t="shared" si="7"/>
        <v>0.68803596943126466</v>
      </c>
    </row>
    <row r="201" spans="1:5" ht="9.9499999999999993" customHeight="1" x14ac:dyDescent="0.25">
      <c r="A201" s="13">
        <v>44439</v>
      </c>
      <c r="B201" s="7">
        <v>0.96806194142672619</v>
      </c>
      <c r="C201" s="8">
        <f t="shared" si="6"/>
        <v>0.93714392243888223</v>
      </c>
      <c r="D201" s="8">
        <f>SQRT(AVERAGE(C$2:C201))</f>
        <v>3.4993261412759429</v>
      </c>
      <c r="E201" s="9">
        <f t="shared" si="7"/>
        <v>0.27664238837530769</v>
      </c>
    </row>
    <row r="202" spans="1:5" ht="9.9499999999999993" customHeight="1" x14ac:dyDescent="0.25">
      <c r="A202" s="13">
        <v>44469</v>
      </c>
      <c r="B202" s="7">
        <v>1.50383712137078</v>
      </c>
      <c r="C202" s="8">
        <f t="shared" si="6"/>
        <v>2.2615260876127539</v>
      </c>
      <c r="D202" s="8">
        <f>SQRT(AVERAGE(C$2:C202))</f>
        <v>3.4922217868304384</v>
      </c>
      <c r="E202" s="9">
        <f t="shared" si="7"/>
        <v>0.43062474641270471</v>
      </c>
    </row>
    <row r="203" spans="1:5" ht="9.9499999999999993" customHeight="1" x14ac:dyDescent="0.25">
      <c r="A203" s="13">
        <v>44500</v>
      </c>
      <c r="B203" s="7">
        <v>2.5159231801530142</v>
      </c>
      <c r="C203" s="8">
        <f t="shared" si="6"/>
        <v>6.3298694484312561</v>
      </c>
      <c r="D203" s="8">
        <f>SQRT(AVERAGE(C$2:C203))</f>
        <v>3.4880617359728343</v>
      </c>
      <c r="E203" s="9">
        <f t="shared" si="7"/>
        <v>0.72129548459706749</v>
      </c>
    </row>
    <row r="204" spans="1:5" ht="9.9499999999999993" customHeight="1" x14ac:dyDescent="0.25">
      <c r="A204" s="13">
        <v>44530</v>
      </c>
      <c r="B204" s="7">
        <v>3.645913957088688</v>
      </c>
      <c r="C204" s="8">
        <f t="shared" si="6"/>
        <v>13.292688582494096</v>
      </c>
      <c r="D204" s="8">
        <f>SQRT(AVERAGE(C$2:C204))</f>
        <v>3.4888568375777722</v>
      </c>
      <c r="E204" s="9">
        <f t="shared" si="7"/>
        <v>1.0450167853892098</v>
      </c>
    </row>
    <row r="205" spans="1:5" ht="9.9499999999999993" customHeight="1" x14ac:dyDescent="0.25">
      <c r="A205" s="13">
        <v>44561</v>
      </c>
      <c r="B205" s="7">
        <v>2.216780093220676</v>
      </c>
      <c r="C205" s="8">
        <f t="shared" si="6"/>
        <v>4.9141139816994688</v>
      </c>
      <c r="D205" s="8">
        <f>SQRT(AVERAGE(C$2:C205))</f>
        <v>3.4837542339081424</v>
      </c>
      <c r="E205" s="9">
        <f t="shared" si="7"/>
        <v>0.63631931082975668</v>
      </c>
    </row>
    <row r="206" spans="1:5" ht="9.9499999999999993" customHeight="1" x14ac:dyDescent="0.25">
      <c r="A206" s="13">
        <v>44592</v>
      </c>
      <c r="B206" s="7">
        <v>-0.38891005134223078</v>
      </c>
      <c r="C206" s="8">
        <f t="shared" si="6"/>
        <v>0.15125102803501658</v>
      </c>
      <c r="D206" s="8">
        <f>SQRT(AVERAGE(C$2:C206))</f>
        <v>3.4753530353969051</v>
      </c>
      <c r="E206" s="9">
        <f t="shared" si="7"/>
        <v>-0.11190519276203979</v>
      </c>
    </row>
    <row r="207" spans="1:5" ht="9.9499999999999993" customHeight="1" x14ac:dyDescent="0.25">
      <c r="A207" s="13">
        <v>44620</v>
      </c>
      <c r="B207" s="7">
        <v>0.97459576349628363</v>
      </c>
      <c r="C207" s="8">
        <f t="shared" si="6"/>
        <v>0.94983690222490402</v>
      </c>
      <c r="D207" s="8">
        <f>SQRT(AVERAGE(C$2:C207))</f>
        <v>3.4675723682846096</v>
      </c>
      <c r="E207" s="9">
        <f t="shared" si="7"/>
        <v>0.28105996356707941</v>
      </c>
    </row>
    <row r="208" spans="1:5" ht="9.9499999999999993" customHeight="1" x14ac:dyDescent="0.25">
      <c r="A208" s="13">
        <v>44651</v>
      </c>
      <c r="B208" s="7">
        <v>0.74610284586740061</v>
      </c>
      <c r="C208" s="8">
        <f t="shared" si="6"/>
        <v>0.55666945661143419</v>
      </c>
      <c r="D208" s="8">
        <f>SQRT(AVERAGE(C$2:C208))</f>
        <v>3.4595751352412396</v>
      </c>
      <c r="E208" s="9">
        <f t="shared" si="7"/>
        <v>0.21566314264059888</v>
      </c>
    </row>
    <row r="209" spans="1:5" ht="9.9499999999999993" customHeight="1" x14ac:dyDescent="0.25">
      <c r="A209" s="13">
        <v>44681</v>
      </c>
      <c r="B209" s="7">
        <v>-0.90978351122498546</v>
      </c>
      <c r="C209" s="8">
        <f t="shared" si="6"/>
        <v>0.82770603729686321</v>
      </c>
      <c r="D209" s="8">
        <f>SQRT(AVERAGE(C$2:C209))</f>
        <v>3.4518252906474114</v>
      </c>
      <c r="E209" s="9">
        <f t="shared" si="7"/>
        <v>-0.26356592081586777</v>
      </c>
    </row>
    <row r="210" spans="1:5" ht="9.9499999999999993" customHeight="1" x14ac:dyDescent="0.25">
      <c r="A210" s="13">
        <v>44712</v>
      </c>
      <c r="B210" s="7">
        <v>-1.3857739910071161</v>
      </c>
      <c r="C210" s="8">
        <f t="shared" si="6"/>
        <v>1.9203695541517907</v>
      </c>
      <c r="D210" s="8">
        <f>SQRT(AVERAGE(C$2:C210))</f>
        <v>3.4448913147916933</v>
      </c>
      <c r="E210" s="9">
        <f t="shared" si="7"/>
        <v>-0.40226929222900937</v>
      </c>
    </row>
    <row r="211" spans="1:5" ht="9.9499999999999993" customHeight="1" x14ac:dyDescent="0.25">
      <c r="A211" s="13">
        <v>44742</v>
      </c>
      <c r="B211" s="7">
        <v>-1.9288683808321121</v>
      </c>
      <c r="C211" s="8">
        <f t="shared" si="6"/>
        <v>3.7205332305738938</v>
      </c>
      <c r="D211" s="8">
        <f>SQRT(AVERAGE(C$2:C211))</f>
        <v>3.4392560469855269</v>
      </c>
      <c r="E211" s="9">
        <f t="shared" si="7"/>
        <v>-0.56083884261037953</v>
      </c>
    </row>
    <row r="212" spans="1:5" ht="9.9499999999999993" customHeight="1" x14ac:dyDescent="0.25">
      <c r="A212" s="13">
        <v>44773</v>
      </c>
      <c r="B212" s="7">
        <v>-0.1463656512490836</v>
      </c>
      <c r="C212" s="8">
        <f t="shared" si="6"/>
        <v>2.1422903865568367E-2</v>
      </c>
      <c r="D212" s="8">
        <f>SQRT(AVERAGE(C$2:C212))</f>
        <v>3.4311112674956639</v>
      </c>
      <c r="E212" s="9">
        <f t="shared" si="7"/>
        <v>-4.2658380867932194E-2</v>
      </c>
    </row>
    <row r="213" spans="1:5" ht="9.9499999999999993" customHeight="1" x14ac:dyDescent="0.25">
      <c r="A213" s="13">
        <v>44804</v>
      </c>
      <c r="B213" s="7">
        <v>-4.2999520470968569E-2</v>
      </c>
      <c r="C213" s="8">
        <f t="shared" si="6"/>
        <v>1.848958760733245E-3</v>
      </c>
      <c r="D213" s="8">
        <f>SQRT(AVERAGE(C$2:C213))</f>
        <v>3.4230107325795354</v>
      </c>
      <c r="E213" s="9">
        <f t="shared" si="7"/>
        <v>-1.2561900569492138E-2</v>
      </c>
    </row>
    <row r="214" spans="1:5" ht="9.9499999999999993" customHeight="1" x14ac:dyDescent="0.25">
      <c r="A214" s="13">
        <v>44834</v>
      </c>
      <c r="B214" s="7">
        <v>-3.7141088019866958E-2</v>
      </c>
      <c r="C214" s="8">
        <f t="shared" si="6"/>
        <v>1.3794604192995049E-3</v>
      </c>
      <c r="D214" s="8">
        <f>SQRT(AVERAGE(C$2:C214))</f>
        <v>3.4149669911145466</v>
      </c>
      <c r="E214" s="9">
        <f t="shared" si="7"/>
        <v>-1.0875972774116092E-2</v>
      </c>
    </row>
    <row r="215" spans="1:5" ht="9.9499999999999993" customHeight="1" x14ac:dyDescent="0.25">
      <c r="A215" s="13">
        <v>44865</v>
      </c>
      <c r="B215" s="7">
        <v>-0.68119216575900621</v>
      </c>
      <c r="C215" s="8">
        <f t="shared" si="6"/>
        <v>0.46402276669144538</v>
      </c>
      <c r="D215" s="8">
        <f>SQRT(AVERAGE(C$2:C215))</f>
        <v>3.4072969574261553</v>
      </c>
      <c r="E215" s="9">
        <f t="shared" si="7"/>
        <v>-0.19992157251640705</v>
      </c>
    </row>
    <row r="216" spans="1:5" ht="9.9499999999999993" customHeight="1" x14ac:dyDescent="0.25">
      <c r="A216" s="13">
        <v>44895</v>
      </c>
      <c r="B216" s="7">
        <v>-1.344102778468087</v>
      </c>
      <c r="C216" s="8">
        <f t="shared" si="6"/>
        <v>1.8066122790856314</v>
      </c>
      <c r="D216" s="8">
        <f>SQRT(AVERAGE(C$2:C216))</f>
        <v>3.400599495219951</v>
      </c>
      <c r="E216" s="9">
        <f t="shared" si="7"/>
        <v>-0.39525465446825586</v>
      </c>
    </row>
    <row r="217" spans="1:5" ht="9.9499999999999993" customHeight="1" x14ac:dyDescent="0.25">
      <c r="A217" s="13">
        <v>44926</v>
      </c>
      <c r="B217" s="7">
        <v>2.0735767136461232</v>
      </c>
      <c r="C217" s="8">
        <f t="shared" si="6"/>
        <v>4.2997203873754559</v>
      </c>
      <c r="D217" s="8">
        <f>SQRT(AVERAGE(C$2:C217))</f>
        <v>3.3956509901070007</v>
      </c>
      <c r="E217" s="9">
        <f t="shared" si="7"/>
        <v>0.61065660743325756</v>
      </c>
    </row>
    <row r="218" spans="1:5" ht="9.9499999999999993" customHeight="1" x14ac:dyDescent="0.25">
      <c r="A218" s="13">
        <v>44957</v>
      </c>
      <c r="B218" s="7">
        <v>0.22561758296223361</v>
      </c>
      <c r="C218" s="8">
        <f t="shared" si="6"/>
        <v>5.0903293741720368E-2</v>
      </c>
      <c r="D218" s="8">
        <f>SQRT(AVERAGE(C$2:C218))</f>
        <v>3.3878524952809173</v>
      </c>
      <c r="E218" s="9">
        <f t="shared" si="7"/>
        <v>6.6596046692264751E-2</v>
      </c>
    </row>
    <row r="219" spans="1:5" ht="9.9499999999999993" customHeight="1" x14ac:dyDescent="0.25">
      <c r="A219" s="13">
        <v>44985</v>
      </c>
      <c r="B219" s="7">
        <v>-1.07060807211</v>
      </c>
      <c r="C219" s="8">
        <f t="shared" si="6"/>
        <v>1.1462016440670908</v>
      </c>
      <c r="D219" s="8">
        <f>SQRT(AVERAGE(C$2:C219))</f>
        <v>3.3808509355861891</v>
      </c>
      <c r="E219" s="9">
        <f t="shared" si="7"/>
        <v>-0.31666822717351556</v>
      </c>
    </row>
    <row r="220" spans="1:5" ht="9.9499999999999993" customHeight="1" x14ac:dyDescent="0.25">
      <c r="A220" s="13">
        <v>45016</v>
      </c>
      <c r="B220" s="7">
        <v>0.65207256341766673</v>
      </c>
      <c r="C220" s="8">
        <f t="shared" si="6"/>
        <v>0.42519862796208702</v>
      </c>
      <c r="D220" s="8">
        <f>SQRT(AVERAGE(C$2:C220))</f>
        <v>3.3734110504393309</v>
      </c>
      <c r="E220" s="9">
        <f t="shared" si="7"/>
        <v>0.19329768998436911</v>
      </c>
    </row>
    <row r="221" spans="1:5" ht="9.9499999999999993" customHeight="1" x14ac:dyDescent="0.25">
      <c r="A221" s="13">
        <v>45046</v>
      </c>
      <c r="B221" s="7">
        <v>2.0586955126369331</v>
      </c>
      <c r="C221" s="8">
        <f t="shared" si="6"/>
        <v>4.2382272137514443</v>
      </c>
      <c r="D221" s="8">
        <f>SQRT(AVERAGE(C$2:C221))</f>
        <v>3.3685961403206419</v>
      </c>
      <c r="E221" s="9">
        <f t="shared" si="7"/>
        <v>0.61114346359162397</v>
      </c>
    </row>
    <row r="222" spans="1:5" ht="9.9499999999999993" customHeight="1" x14ac:dyDescent="0.25">
      <c r="A222" s="13">
        <v>45077</v>
      </c>
      <c r="B222" s="7">
        <v>0.42054703844958768</v>
      </c>
      <c r="C222" s="8">
        <f t="shared" si="6"/>
        <v>0.17685981154871899</v>
      </c>
      <c r="D222" s="8">
        <f>SQRT(AVERAGE(C$2:C222))</f>
        <v>3.3610852927391077</v>
      </c>
      <c r="E222" s="9">
        <f t="shared" si="7"/>
        <v>0.12512239405470843</v>
      </c>
    </row>
    <row r="223" spans="1:5" ht="9.9499999999999993" customHeight="1" x14ac:dyDescent="0.25">
      <c r="A223" s="13">
        <v>45107</v>
      </c>
      <c r="B223" s="7">
        <v>-0.61813858518897369</v>
      </c>
      <c r="C223" s="8">
        <f t="shared" si="6"/>
        <v>0.38209531049942608</v>
      </c>
      <c r="D223" s="8">
        <f>SQRT(AVERAGE(C$2:C223))</f>
        <v>3.3537633463991106</v>
      </c>
      <c r="E223" s="9">
        <f t="shared" si="7"/>
        <v>-0.18431192703345051</v>
      </c>
    </row>
    <row r="224" spans="1:5" ht="9.9499999999999993" customHeight="1" x14ac:dyDescent="0.25">
      <c r="A224" s="13">
        <v>45138</v>
      </c>
      <c r="B224" s="7">
        <v>1.4718994706680291</v>
      </c>
      <c r="C224" s="8">
        <f t="shared" si="6"/>
        <v>2.166488051752824</v>
      </c>
      <c r="D224" s="8">
        <f>SQRT(AVERAGE(C$2:C224))</f>
        <v>3.3476865940433576</v>
      </c>
      <c r="E224" s="9">
        <f t="shared" si="7"/>
        <v>0.43967660332571912</v>
      </c>
    </row>
    <row r="225" spans="1:5" ht="9.9499999999999993" customHeight="1" x14ac:dyDescent="0.25">
      <c r="A225" s="13">
        <v>45169</v>
      </c>
      <c r="B225" s="7">
        <v>-1.328193666509331</v>
      </c>
      <c r="C225" s="8">
        <f t="shared" si="6"/>
        <v>1.7640984157555</v>
      </c>
      <c r="D225" s="8">
        <f>SQRT(AVERAGE(C$2:C225))</f>
        <v>3.3413843982094482</v>
      </c>
      <c r="E225" s="9">
        <f t="shared" si="7"/>
        <v>-0.39749801526010353</v>
      </c>
    </row>
    <row r="226" spans="1:5" ht="9.9499999999999993" customHeight="1" x14ac:dyDescent="0.25">
      <c r="A226" s="13">
        <v>45199</v>
      </c>
      <c r="B226" s="7">
        <v>1.2064794378100101</v>
      </c>
      <c r="C226" s="8">
        <f t="shared" si="6"/>
        <v>1.455592633858358</v>
      </c>
      <c r="D226" s="8">
        <f>SQRT(AVERAGE(C$2:C226))</f>
        <v>3.334920905056872</v>
      </c>
      <c r="E226" s="9">
        <f t="shared" si="7"/>
        <v>0.36177152986764327</v>
      </c>
    </row>
    <row r="227" spans="1:5" ht="9.9499999999999993" customHeight="1" x14ac:dyDescent="0.25">
      <c r="A227" s="13">
        <v>45230</v>
      </c>
      <c r="B227" s="7">
        <v>-0.83790602047466878</v>
      </c>
      <c r="C227" s="8">
        <f t="shared" si="6"/>
        <v>0.70208649914769605</v>
      </c>
      <c r="D227" s="8">
        <f>SQRT(AVERAGE(C$2:C227))</f>
        <v>3.3280013476233035</v>
      </c>
      <c r="E227" s="9">
        <f t="shared" si="7"/>
        <v>-0.25177454362302482</v>
      </c>
    </row>
    <row r="228" spans="1:5" ht="9.9499999999999993" customHeight="1" x14ac:dyDescent="0.25">
      <c r="A228" s="13">
        <v>45260</v>
      </c>
      <c r="B228" s="7">
        <v>1.6369218311694751</v>
      </c>
      <c r="C228" s="8">
        <f t="shared" si="6"/>
        <v>2.6795130813592274</v>
      </c>
      <c r="D228" s="8">
        <f>SQRT(AVERAGE(C$2:C228))</f>
        <v>3.3224397411706619</v>
      </c>
      <c r="E228" s="9">
        <f t="shared" si="7"/>
        <v>0.49268668770278601</v>
      </c>
    </row>
    <row r="229" spans="1:5" ht="9.9499999999999993" customHeight="1" x14ac:dyDescent="0.25">
      <c r="A229" s="13">
        <v>45291</v>
      </c>
      <c r="B229" s="7">
        <v>0.74054540357930343</v>
      </c>
      <c r="C229" s="8">
        <f t="shared" si="6"/>
        <v>0.54840749476243345</v>
      </c>
      <c r="D229" s="8">
        <f>SQRT(AVERAGE(C$2:C229))</f>
        <v>3.3155084364049938</v>
      </c>
      <c r="E229" s="9">
        <f t="shared" si="7"/>
        <v>0.22335802118551593</v>
      </c>
    </row>
    <row r="230" spans="1:5" ht="9.9499999999999993" customHeight="1" x14ac:dyDescent="0.25">
      <c r="A230" s="13">
        <v>45322</v>
      </c>
      <c r="B230" s="7">
        <v>6.3132099130302433E-2</v>
      </c>
      <c r="C230" s="8">
        <f t="shared" si="6"/>
        <v>3.9856619405983333E-3</v>
      </c>
      <c r="D230" s="8">
        <f>SQRT(AVERAGE(C$2:C230))</f>
        <v>3.3082640452436713</v>
      </c>
      <c r="E230" s="9">
        <f t="shared" si="7"/>
        <v>1.9083150034855341E-2</v>
      </c>
    </row>
    <row r="231" spans="1:5" ht="9.9499999999999993" customHeight="1" x14ac:dyDescent="0.25">
      <c r="A231" s="13">
        <v>45351</v>
      </c>
      <c r="B231" s="7">
        <v>0.40969209051073358</v>
      </c>
      <c r="C231" s="8">
        <f t="shared" si="6"/>
        <v>0.16784760902705512</v>
      </c>
      <c r="D231" s="8">
        <f>SQRT(AVERAGE(C$2:C231))</f>
        <v>3.3011748666312721</v>
      </c>
      <c r="E231" s="9">
        <f t="shared" si="7"/>
        <v>0.12410493447407386</v>
      </c>
    </row>
    <row r="232" spans="1:5" ht="9.9499999999999993" customHeight="1" x14ac:dyDescent="0.25">
      <c r="A232" s="13">
        <v>45382</v>
      </c>
      <c r="B232" s="7">
        <v>-1.295579293048789</v>
      </c>
      <c r="C232" s="8">
        <f t="shared" si="6"/>
        <v>1.6785257045768001</v>
      </c>
      <c r="D232" s="8">
        <f>SQRT(AVERAGE(C$2:C232))</f>
        <v>3.2951244914848346</v>
      </c>
      <c r="E232" s="9">
        <f t="shared" si="7"/>
        <v>-0.39318068145734331</v>
      </c>
    </row>
    <row r="233" spans="1:5" ht="9.9499999999999993" customHeight="1" x14ac:dyDescent="0.25">
      <c r="A233" s="13">
        <v>45412</v>
      </c>
      <c r="B233" s="7">
        <v>-3.3937860057964953E-2</v>
      </c>
      <c r="C233" s="8">
        <f t="shared" si="6"/>
        <v>1.1517783453140128E-3</v>
      </c>
      <c r="D233" s="8">
        <f>SQRT(AVERAGE(C$2:C233))</f>
        <v>3.2880160159470639</v>
      </c>
      <c r="E233" s="9">
        <f t="shared" si="7"/>
        <v>-1.0321683317041161E-2</v>
      </c>
    </row>
    <row r="234" spans="1:5" ht="9.9499999999999993" customHeight="1" x14ac:dyDescent="0.25">
      <c r="A234" s="13">
        <v>45443</v>
      </c>
      <c r="B234" s="7">
        <v>-1.0478438036131501</v>
      </c>
      <c r="C234" s="8">
        <f t="shared" si="6"/>
        <v>1.097976636770474</v>
      </c>
      <c r="D234" s="8">
        <f>SQRT(AVERAGE(C$2:C234))</f>
        <v>3.2816706589625073</v>
      </c>
      <c r="E234" s="9">
        <f t="shared" si="7"/>
        <v>-0.31930193870960333</v>
      </c>
    </row>
    <row r="235" spans="1:5" ht="9.9499999999999993" customHeight="1" x14ac:dyDescent="0.25">
      <c r="A235" s="13">
        <v>45473</v>
      </c>
      <c r="B235" s="7">
        <v>-0.47049770104781452</v>
      </c>
      <c r="C235" s="8">
        <f t="shared" si="6"/>
        <v>0.22136808669127864</v>
      </c>
      <c r="D235" s="8">
        <f>SQRT(AVERAGE(C$2:C235))</f>
        <v>3.2747954768944827</v>
      </c>
      <c r="E235" s="9">
        <f t="shared" si="7"/>
        <v>-0.1436723924799089</v>
      </c>
    </row>
    <row r="236" spans="1:5" ht="9.9499999999999993" customHeight="1" x14ac:dyDescent="0.25">
      <c r="A236" s="13">
        <v>45504</v>
      </c>
      <c r="B236" s="7">
        <v>-1.5046721017482929</v>
      </c>
      <c r="C236" s="8">
        <f t="shared" si="6"/>
        <v>2.2640381337796249</v>
      </c>
      <c r="D236" s="8">
        <f>SQRT(AVERAGE(C$2:C236))</f>
        <v>3.2692941689646058</v>
      </c>
      <c r="E236" s="9">
        <f t="shared" si="7"/>
        <v>-0.46024371744584447</v>
      </c>
    </row>
    <row r="237" spans="1:5" ht="9.9499999999999993" customHeight="1" x14ac:dyDescent="0.25">
      <c r="A237" s="13">
        <v>45535</v>
      </c>
      <c r="B237" s="7">
        <v>2.1129836875458432</v>
      </c>
      <c r="C237" s="8">
        <f t="shared" si="6"/>
        <v>4.4647000638348295</v>
      </c>
      <c r="D237" s="8">
        <f>SQRT(AVERAGE(C$2:C237))</f>
        <v>3.2652585262599496</v>
      </c>
      <c r="E237" s="9">
        <f t="shared" si="7"/>
        <v>0.64711068681170236</v>
      </c>
    </row>
    <row r="238" spans="1:5" ht="9.9499999999999993" customHeight="1" x14ac:dyDescent="0.25">
      <c r="A238" s="13">
        <v>45565</v>
      </c>
      <c r="B238" s="7">
        <v>1.2014238774768631</v>
      </c>
      <c r="C238" s="8">
        <f t="shared" si="6"/>
        <v>1.4434193333715406</v>
      </c>
      <c r="D238" s="8">
        <f>SQRT(AVERAGE(C$2:C238))</f>
        <v>3.2592969555622222</v>
      </c>
      <c r="E238" s="9">
        <f t="shared" si="7"/>
        <v>0.36861442631870278</v>
      </c>
    </row>
    <row r="239" spans="1:5" ht="9.9499999999999993" customHeight="1" x14ac:dyDescent="0.25">
      <c r="A239" s="14">
        <v>45596</v>
      </c>
      <c r="B239" s="10">
        <v>-0.43577415445954809</v>
      </c>
      <c r="C239" s="11">
        <f t="shared" si="6"/>
        <v>0.18989911369493409</v>
      </c>
      <c r="D239" s="11">
        <f>SQRT(AVERAGE(C$2:C239))</f>
        <v>3.2525651440449765</v>
      </c>
      <c r="E239" s="12">
        <f t="shared" si="7"/>
        <v>-0.13397860923935492</v>
      </c>
    </row>
    <row r="240" spans="1:5" ht="9.9499999999999993" customHeight="1" x14ac:dyDescent="0.25">
      <c r="B240" s="3"/>
      <c r="C240" s="3"/>
      <c r="D240" s="3"/>
      <c r="E240" s="3"/>
    </row>
    <row r="241" spans="2:5" ht="9.9499999999999993" customHeight="1" x14ac:dyDescent="0.25">
      <c r="B241" s="3"/>
      <c r="C241" s="3"/>
      <c r="D241" s="3"/>
      <c r="E241" s="3"/>
    </row>
    <row r="242" spans="2:5" ht="9.9499999999999993" customHeight="1" x14ac:dyDescent="0.25">
      <c r="B242" s="3"/>
      <c r="C242" s="3"/>
      <c r="D242" s="3"/>
      <c r="E242" s="3"/>
    </row>
    <row r="243" spans="2:5" ht="9.9499999999999993" customHeight="1" x14ac:dyDescent="0.25">
      <c r="B243" s="3"/>
      <c r="C243" s="3"/>
      <c r="D243" s="3"/>
      <c r="E243" s="3"/>
    </row>
    <row r="244" spans="2:5" ht="9.9499999999999993" customHeight="1" x14ac:dyDescent="0.25">
      <c r="B244" s="3"/>
      <c r="C244" s="3"/>
      <c r="D244" s="3"/>
      <c r="E244" s="3"/>
    </row>
    <row r="245" spans="2:5" ht="9.9499999999999993" customHeight="1" x14ac:dyDescent="0.25">
      <c r="B245" s="3"/>
      <c r="C245" s="3"/>
      <c r="D245" s="3"/>
      <c r="E245" s="3"/>
    </row>
    <row r="246" spans="2:5" ht="9.9499999999999993" customHeight="1" x14ac:dyDescent="0.25">
      <c r="B246" s="3"/>
      <c r="C246" s="3"/>
      <c r="D246" s="3"/>
      <c r="E246" s="3"/>
    </row>
    <row r="247" spans="2:5" ht="9.9499999999999993" customHeight="1" x14ac:dyDescent="0.25">
      <c r="B247" s="3"/>
      <c r="C247" s="3"/>
      <c r="D247" s="3"/>
      <c r="E247" s="3"/>
    </row>
    <row r="248" spans="2:5" ht="9.9499999999999993" customHeight="1" x14ac:dyDescent="0.25">
      <c r="B248" s="3"/>
      <c r="C248" s="3"/>
      <c r="D248" s="3"/>
      <c r="E248" s="3"/>
    </row>
    <row r="249" spans="2:5" ht="9.9499999999999993" customHeight="1" x14ac:dyDescent="0.25">
      <c r="B249" s="3"/>
      <c r="C249" s="3"/>
      <c r="D249" s="3"/>
      <c r="E249" s="3"/>
    </row>
    <row r="250" spans="2:5" ht="9.9499999999999993" customHeight="1" x14ac:dyDescent="0.25">
      <c r="B250" s="3"/>
      <c r="C250" s="3"/>
      <c r="D250" s="3"/>
      <c r="E250" s="3"/>
    </row>
    <row r="251" spans="2:5" ht="9.9499999999999993" customHeight="1" x14ac:dyDescent="0.25">
      <c r="B251" s="3"/>
      <c r="C251" s="3"/>
      <c r="D251" s="3"/>
      <c r="E251" s="3"/>
    </row>
    <row r="252" spans="2:5" ht="9.9499999999999993" customHeight="1" x14ac:dyDescent="0.25">
      <c r="B252" s="3"/>
      <c r="C252" s="3"/>
      <c r="D252" s="3"/>
      <c r="E252" s="3"/>
    </row>
    <row r="253" spans="2:5" ht="9.9499999999999993" customHeight="1" x14ac:dyDescent="0.25">
      <c r="B253" s="3"/>
      <c r="C253" s="3"/>
      <c r="D253" s="3"/>
      <c r="E253" s="3"/>
    </row>
    <row r="254" spans="2:5" ht="9.9499999999999993" customHeight="1" x14ac:dyDescent="0.25">
      <c r="B254" s="3"/>
      <c r="C254" s="3"/>
      <c r="D254" s="3"/>
      <c r="E254" s="3"/>
    </row>
    <row r="255" spans="2:5" ht="9.9499999999999993" customHeight="1" x14ac:dyDescent="0.25">
      <c r="B255" s="3"/>
      <c r="C255" s="3"/>
      <c r="D255" s="3"/>
      <c r="E255" s="3"/>
    </row>
    <row r="256" spans="2:5" ht="9.9499999999999993" customHeight="1" x14ac:dyDescent="0.25">
      <c r="B256" s="3"/>
      <c r="C256" s="3"/>
      <c r="D256" s="3"/>
      <c r="E256" s="3"/>
    </row>
    <row r="257" spans="2:5" ht="9.9499999999999993" customHeight="1" x14ac:dyDescent="0.25">
      <c r="B257" s="3"/>
      <c r="C257" s="3"/>
      <c r="D257" s="3"/>
      <c r="E257" s="3"/>
    </row>
    <row r="258" spans="2:5" ht="9.9499999999999993" customHeight="1" x14ac:dyDescent="0.25">
      <c r="B258" s="3"/>
      <c r="C258" s="3"/>
      <c r="D258" s="3"/>
      <c r="E258" s="3"/>
    </row>
    <row r="259" spans="2:5" ht="9.9499999999999993" customHeight="1" x14ac:dyDescent="0.25">
      <c r="B259" s="3"/>
      <c r="C259" s="3"/>
      <c r="D259" s="3"/>
      <c r="E259" s="3"/>
    </row>
    <row r="260" spans="2:5" ht="9.9499999999999993" customHeight="1" x14ac:dyDescent="0.25">
      <c r="B260" s="3"/>
      <c r="C260" s="3"/>
      <c r="D260" s="3"/>
      <c r="E260" s="3"/>
    </row>
    <row r="261" spans="2:5" ht="9.9499999999999993" customHeight="1" x14ac:dyDescent="0.25">
      <c r="B261" s="3"/>
      <c r="C261" s="3"/>
      <c r="D261" s="3"/>
      <c r="E261" s="3"/>
    </row>
    <row r="262" spans="2:5" ht="9.9499999999999993" customHeight="1" x14ac:dyDescent="0.25">
      <c r="B262" s="3"/>
      <c r="C262" s="3"/>
      <c r="D262" s="3"/>
      <c r="E262" s="3"/>
    </row>
    <row r="263" spans="2:5" ht="9.9499999999999993" customHeight="1" x14ac:dyDescent="0.25">
      <c r="B263" s="3"/>
      <c r="C263" s="3"/>
      <c r="D263" s="3"/>
      <c r="E263" s="3"/>
    </row>
    <row r="264" spans="2:5" ht="9.9499999999999993" customHeight="1" x14ac:dyDescent="0.25">
      <c r="B264" s="3"/>
      <c r="C264" s="3"/>
      <c r="D264" s="3"/>
      <c r="E264" s="3"/>
    </row>
    <row r="265" spans="2:5" ht="9.9499999999999993" customHeight="1" x14ac:dyDescent="0.25">
      <c r="B265" s="3"/>
      <c r="C265" s="3"/>
      <c r="D265" s="3"/>
      <c r="E265" s="3"/>
    </row>
    <row r="266" spans="2:5" ht="9.9499999999999993" customHeight="1" x14ac:dyDescent="0.25">
      <c r="B266" s="3"/>
      <c r="C266" s="3"/>
      <c r="D266" s="3"/>
      <c r="E266" s="3"/>
    </row>
    <row r="267" spans="2:5" ht="9.9499999999999993" customHeight="1" x14ac:dyDescent="0.25">
      <c r="B267" s="3"/>
      <c r="C267" s="3"/>
      <c r="D267" s="3"/>
      <c r="E267" s="3"/>
    </row>
    <row r="268" spans="2:5" ht="9.9499999999999993" customHeight="1" x14ac:dyDescent="0.25">
      <c r="B268" s="3"/>
      <c r="C268" s="3"/>
      <c r="D268" s="3"/>
      <c r="E268" s="3"/>
    </row>
    <row r="269" spans="2:5" ht="9.9499999999999993" customHeight="1" x14ac:dyDescent="0.25">
      <c r="B269" s="3"/>
      <c r="C269" s="3"/>
      <c r="D269" s="3"/>
      <c r="E269" s="3"/>
    </row>
    <row r="270" spans="2:5" ht="9.9499999999999993" customHeight="1" x14ac:dyDescent="0.25">
      <c r="B270" s="3"/>
      <c r="C270" s="3"/>
      <c r="D270" s="3"/>
      <c r="E270" s="3"/>
    </row>
    <row r="271" spans="2:5" ht="9.9499999999999993" customHeight="1" x14ac:dyDescent="0.25">
      <c r="B271" s="3"/>
      <c r="C271" s="3"/>
      <c r="D271" s="3"/>
      <c r="E271" s="3"/>
    </row>
    <row r="272" spans="2:5" ht="9.9499999999999993" customHeight="1" x14ac:dyDescent="0.25">
      <c r="B272" s="3"/>
      <c r="C272" s="3"/>
      <c r="D272" s="3"/>
      <c r="E272" s="3"/>
    </row>
    <row r="273" spans="2:5" ht="9.9499999999999993" customHeight="1" x14ac:dyDescent="0.25">
      <c r="B273" s="3"/>
      <c r="C273" s="3"/>
      <c r="D273" s="3"/>
      <c r="E273" s="3"/>
    </row>
    <row r="274" spans="2:5" ht="9.9499999999999993" customHeight="1" x14ac:dyDescent="0.25">
      <c r="B274" s="3"/>
      <c r="C274" s="3"/>
      <c r="D274" s="3"/>
      <c r="E274" s="3"/>
    </row>
    <row r="275" spans="2:5" ht="9.9499999999999993" customHeight="1" x14ac:dyDescent="0.25">
      <c r="B275" s="3"/>
      <c r="C275" s="3"/>
      <c r="D275" s="3"/>
      <c r="E275" s="3"/>
    </row>
    <row r="276" spans="2:5" ht="9.9499999999999993" customHeight="1" x14ac:dyDescent="0.25">
      <c r="B276" s="3"/>
      <c r="C276" s="3"/>
      <c r="D276" s="3"/>
      <c r="E276" s="3"/>
    </row>
    <row r="277" spans="2:5" ht="9.9499999999999993" customHeight="1" x14ac:dyDescent="0.25">
      <c r="B277" s="3"/>
      <c r="C277" s="3"/>
      <c r="D277" s="3"/>
      <c r="E277" s="3"/>
    </row>
    <row r="278" spans="2:5" ht="9.9499999999999993" customHeight="1" x14ac:dyDescent="0.25">
      <c r="B278" s="3"/>
      <c r="C278" s="3"/>
      <c r="D278" s="3"/>
      <c r="E278" s="3"/>
    </row>
    <row r="279" spans="2:5" ht="9.9499999999999993" customHeight="1" x14ac:dyDescent="0.25">
      <c r="B279" s="3"/>
      <c r="C279" s="3"/>
      <c r="D279" s="3"/>
      <c r="E279" s="3"/>
    </row>
    <row r="280" spans="2:5" ht="9.9499999999999993" customHeight="1" x14ac:dyDescent="0.25">
      <c r="B280" s="3"/>
      <c r="C280" s="3"/>
      <c r="D280" s="3"/>
      <c r="E280" s="3"/>
    </row>
    <row r="281" spans="2:5" ht="9.9499999999999993" customHeight="1" x14ac:dyDescent="0.25">
      <c r="B281" s="3"/>
      <c r="C281" s="3"/>
      <c r="D281" s="3"/>
      <c r="E281" s="3"/>
    </row>
    <row r="282" spans="2:5" ht="9.9499999999999993" customHeight="1" x14ac:dyDescent="0.25">
      <c r="B282" s="3"/>
      <c r="C282" s="3"/>
      <c r="D282" s="3"/>
      <c r="E282" s="3"/>
    </row>
    <row r="283" spans="2:5" ht="9.9499999999999993" customHeight="1" x14ac:dyDescent="0.25">
      <c r="B283" s="3"/>
      <c r="C283" s="3"/>
      <c r="D283" s="3"/>
      <c r="E283" s="3"/>
    </row>
    <row r="284" spans="2:5" ht="9.9499999999999993" customHeight="1" x14ac:dyDescent="0.25">
      <c r="B284" s="3"/>
      <c r="C284" s="3"/>
      <c r="D284" s="3"/>
      <c r="E284" s="3"/>
    </row>
    <row r="285" spans="2:5" ht="9.9499999999999993" customHeight="1" x14ac:dyDescent="0.25">
      <c r="B285" s="3"/>
      <c r="C285" s="3"/>
      <c r="D285" s="3"/>
      <c r="E285" s="3"/>
    </row>
    <row r="286" spans="2:5" ht="9.9499999999999993" customHeight="1" x14ac:dyDescent="0.25">
      <c r="B286" s="3"/>
      <c r="C286" s="3"/>
      <c r="D286" s="3"/>
      <c r="E286" s="3"/>
    </row>
    <row r="287" spans="2:5" ht="9.9499999999999993" customHeight="1" x14ac:dyDescent="0.25">
      <c r="B287" s="3"/>
      <c r="C287" s="3"/>
      <c r="D287" s="3"/>
      <c r="E287" s="3"/>
    </row>
    <row r="288" spans="2:5" ht="9.9499999999999993" customHeight="1" x14ac:dyDescent="0.25">
      <c r="B288" s="3"/>
      <c r="C288" s="3"/>
      <c r="D288" s="3"/>
      <c r="E288" s="3"/>
    </row>
    <row r="289" spans="2:5" ht="9.9499999999999993" customHeight="1" x14ac:dyDescent="0.25">
      <c r="B289" s="3"/>
      <c r="C289" s="3"/>
      <c r="D289" s="3"/>
      <c r="E289" s="3"/>
    </row>
    <row r="290" spans="2:5" ht="9.9499999999999993" customHeight="1" x14ac:dyDescent="0.25">
      <c r="B290" s="3"/>
      <c r="C290" s="3"/>
      <c r="D290" s="3"/>
      <c r="E290" s="3"/>
    </row>
    <row r="291" spans="2:5" ht="9.9499999999999993" customHeight="1" x14ac:dyDescent="0.25">
      <c r="B291" s="3"/>
      <c r="C291" s="3"/>
      <c r="D291" s="3"/>
      <c r="E291" s="3"/>
    </row>
    <row r="292" spans="2:5" ht="9.9499999999999993" customHeight="1" x14ac:dyDescent="0.25">
      <c r="B292" s="3"/>
      <c r="C292" s="3"/>
      <c r="D292" s="3"/>
      <c r="E292" s="3"/>
    </row>
    <row r="293" spans="2:5" ht="9.9499999999999993" customHeight="1" x14ac:dyDescent="0.25">
      <c r="B293" s="3"/>
      <c r="C293" s="3"/>
      <c r="D293" s="3"/>
      <c r="E293" s="3"/>
    </row>
    <row r="294" spans="2:5" ht="9.9499999999999993" customHeight="1" x14ac:dyDescent="0.25">
      <c r="B294" s="3"/>
      <c r="C294" s="3"/>
      <c r="D294" s="3"/>
      <c r="E294" s="3"/>
    </row>
    <row r="295" spans="2:5" ht="9.9499999999999993" customHeight="1" x14ac:dyDescent="0.25">
      <c r="B295" s="3"/>
      <c r="C295" s="3"/>
      <c r="D295" s="3"/>
      <c r="E295" s="3"/>
    </row>
    <row r="296" spans="2:5" ht="9.9499999999999993" customHeight="1" x14ac:dyDescent="0.25">
      <c r="B296" s="3"/>
      <c r="C296" s="3"/>
      <c r="D296" s="3"/>
      <c r="E296" s="3"/>
    </row>
    <row r="297" spans="2:5" ht="9.9499999999999993" customHeight="1" x14ac:dyDescent="0.25">
      <c r="B297" s="3"/>
      <c r="C297" s="3"/>
      <c r="D297" s="3"/>
      <c r="E297" s="3"/>
    </row>
    <row r="298" spans="2:5" ht="9.9499999999999993" customHeight="1" x14ac:dyDescent="0.25">
      <c r="B298" s="3"/>
      <c r="C298" s="3"/>
      <c r="D298" s="3"/>
      <c r="E298" s="3"/>
    </row>
    <row r="299" spans="2:5" ht="9.9499999999999993" customHeight="1" x14ac:dyDescent="0.25">
      <c r="B299" s="3"/>
      <c r="C299" s="3"/>
      <c r="D299" s="3"/>
      <c r="E299" s="3"/>
    </row>
    <row r="300" spans="2:5" ht="9.9499999999999993" customHeight="1" x14ac:dyDescent="0.25">
      <c r="B300" s="3"/>
      <c r="C300" s="3"/>
      <c r="D300" s="3"/>
      <c r="E300" s="3"/>
    </row>
    <row r="301" spans="2:5" ht="9.9499999999999993" customHeight="1" x14ac:dyDescent="0.25">
      <c r="B301" s="3"/>
      <c r="C301" s="3"/>
      <c r="D301" s="3"/>
      <c r="E301" s="3"/>
    </row>
    <row r="302" spans="2:5" ht="9.9499999999999993" customHeight="1" x14ac:dyDescent="0.25">
      <c r="B302" s="3"/>
      <c r="C302" s="3"/>
      <c r="D302" s="3"/>
      <c r="E302" s="3"/>
    </row>
    <row r="303" spans="2:5" ht="9.9499999999999993" customHeight="1" x14ac:dyDescent="0.25">
      <c r="B303" s="3"/>
      <c r="C303" s="3"/>
      <c r="D303" s="3"/>
      <c r="E303" s="3"/>
    </row>
    <row r="304" spans="2:5" ht="9.9499999999999993" customHeight="1" x14ac:dyDescent="0.25">
      <c r="B304" s="3"/>
      <c r="C304" s="3"/>
      <c r="D304" s="3"/>
      <c r="E304" s="3"/>
    </row>
    <row r="305" spans="2:5" ht="9.9499999999999993" customHeight="1" x14ac:dyDescent="0.25">
      <c r="B305" s="3"/>
      <c r="C305" s="3"/>
      <c r="D305" s="3"/>
      <c r="E305" s="3"/>
    </row>
    <row r="306" spans="2:5" ht="9.9499999999999993" customHeight="1" x14ac:dyDescent="0.25">
      <c r="B306" s="3"/>
      <c r="C306" s="3"/>
      <c r="D306" s="3"/>
      <c r="E306" s="3"/>
    </row>
    <row r="307" spans="2:5" ht="9.9499999999999993" customHeight="1" x14ac:dyDescent="0.25">
      <c r="B307" s="3"/>
      <c r="C307" s="3"/>
      <c r="D307" s="3"/>
      <c r="E307" s="3"/>
    </row>
    <row r="308" spans="2:5" ht="9.9499999999999993" customHeight="1" x14ac:dyDescent="0.25">
      <c r="B308" s="3"/>
      <c r="C308" s="3"/>
      <c r="D308" s="3"/>
      <c r="E308" s="3"/>
    </row>
    <row r="309" spans="2:5" ht="9.9499999999999993" customHeight="1" x14ac:dyDescent="0.25">
      <c r="B309" s="3"/>
      <c r="C309" s="3"/>
      <c r="D309" s="3"/>
      <c r="E309" s="3"/>
    </row>
    <row r="310" spans="2:5" ht="9.9499999999999993" customHeight="1" x14ac:dyDescent="0.25">
      <c r="B310" s="3"/>
      <c r="C310" s="3"/>
      <c r="D310" s="3"/>
      <c r="E310" s="3"/>
    </row>
    <row r="311" spans="2:5" ht="9.9499999999999993" customHeight="1" x14ac:dyDescent="0.25">
      <c r="B311" s="3"/>
      <c r="C311" s="3"/>
      <c r="D311" s="3"/>
      <c r="E311" s="3"/>
    </row>
    <row r="312" spans="2:5" ht="9.9499999999999993" customHeight="1" x14ac:dyDescent="0.25">
      <c r="B312" s="3"/>
      <c r="C312" s="3"/>
      <c r="D312" s="3"/>
      <c r="E312" s="3"/>
    </row>
    <row r="313" spans="2:5" ht="9.9499999999999993" customHeight="1" x14ac:dyDescent="0.25">
      <c r="B313" s="3"/>
      <c r="C313" s="3"/>
      <c r="D313" s="3"/>
      <c r="E313" s="3"/>
    </row>
    <row r="314" spans="2:5" ht="9.9499999999999993" customHeight="1" x14ac:dyDescent="0.25">
      <c r="B314" s="3"/>
      <c r="C314" s="3"/>
      <c r="D314" s="3"/>
      <c r="E314" s="3"/>
    </row>
    <row r="315" spans="2:5" ht="9.9499999999999993" customHeight="1" x14ac:dyDescent="0.25">
      <c r="B315" s="3"/>
      <c r="C315" s="3"/>
      <c r="D315" s="3"/>
      <c r="E315" s="3"/>
    </row>
    <row r="316" spans="2:5" ht="9.9499999999999993" customHeight="1" x14ac:dyDescent="0.25">
      <c r="B316" s="3"/>
      <c r="C316" s="3"/>
      <c r="D316" s="3"/>
      <c r="E316" s="3"/>
    </row>
    <row r="317" spans="2:5" ht="9.9499999999999993" customHeight="1" x14ac:dyDescent="0.25">
      <c r="B317" s="3"/>
      <c r="C317" s="3"/>
      <c r="D317" s="3"/>
      <c r="E317" s="3"/>
    </row>
    <row r="318" spans="2:5" ht="9.9499999999999993" customHeight="1" x14ac:dyDescent="0.25">
      <c r="B318" s="3"/>
      <c r="C318" s="3"/>
      <c r="D318" s="3"/>
      <c r="E318" s="3"/>
    </row>
    <row r="319" spans="2:5" ht="9.9499999999999993" customHeight="1" x14ac:dyDescent="0.25">
      <c r="B319" s="3"/>
      <c r="C319" s="3"/>
      <c r="D319" s="3"/>
      <c r="E319" s="3"/>
    </row>
    <row r="320" spans="2:5" ht="9.9499999999999993" customHeight="1" x14ac:dyDescent="0.25">
      <c r="B320" s="3"/>
      <c r="C320" s="3"/>
      <c r="D320" s="3"/>
      <c r="E320" s="3"/>
    </row>
    <row r="321" spans="2:5" ht="9.9499999999999993" customHeight="1" x14ac:dyDescent="0.25">
      <c r="B321" s="3"/>
      <c r="C321" s="3"/>
      <c r="D321" s="3"/>
      <c r="E321" s="3"/>
    </row>
    <row r="322" spans="2:5" ht="9.9499999999999993" customHeight="1" x14ac:dyDescent="0.25">
      <c r="B322" s="3"/>
      <c r="C322" s="3"/>
      <c r="D322" s="3"/>
      <c r="E322" s="3"/>
    </row>
    <row r="323" spans="2:5" ht="9.9499999999999993" customHeight="1" x14ac:dyDescent="0.25">
      <c r="B323" s="3"/>
      <c r="C323" s="3"/>
      <c r="D323" s="3"/>
      <c r="E323" s="3"/>
    </row>
    <row r="324" spans="2:5" ht="9.9499999999999993" customHeight="1" x14ac:dyDescent="0.25">
      <c r="B324" s="3"/>
      <c r="C324" s="3"/>
      <c r="D324" s="3"/>
      <c r="E324" s="3"/>
    </row>
    <row r="325" spans="2:5" ht="9.9499999999999993" customHeight="1" x14ac:dyDescent="0.25">
      <c r="B325" s="3"/>
      <c r="C325" s="3"/>
      <c r="D325" s="3"/>
      <c r="E325" s="3"/>
    </row>
    <row r="326" spans="2:5" ht="9.9499999999999993" customHeight="1" x14ac:dyDescent="0.25">
      <c r="B326" s="3"/>
      <c r="C326" s="3"/>
      <c r="D326" s="3"/>
      <c r="E326" s="3"/>
    </row>
    <row r="327" spans="2:5" ht="9.9499999999999993" customHeight="1" x14ac:dyDescent="0.25">
      <c r="B327" s="3"/>
      <c r="C327" s="3"/>
      <c r="D327" s="3"/>
      <c r="E327" s="3"/>
    </row>
    <row r="328" spans="2:5" ht="9.9499999999999993" customHeight="1" x14ac:dyDescent="0.25">
      <c r="B328" s="3"/>
      <c r="C328" s="3"/>
      <c r="D328" s="3"/>
      <c r="E328" s="3"/>
    </row>
    <row r="329" spans="2:5" ht="9.9499999999999993" customHeight="1" x14ac:dyDescent="0.25">
      <c r="B329" s="3"/>
      <c r="C329" s="3"/>
      <c r="D329" s="3"/>
      <c r="E329" s="3"/>
    </row>
    <row r="330" spans="2:5" ht="9.9499999999999993" customHeight="1" x14ac:dyDescent="0.25">
      <c r="B330" s="3"/>
      <c r="C330" s="3"/>
      <c r="D330" s="3"/>
      <c r="E330" s="3"/>
    </row>
    <row r="331" spans="2:5" ht="9.9499999999999993" customHeight="1" x14ac:dyDescent="0.25">
      <c r="B331" s="3"/>
      <c r="C331" s="3"/>
      <c r="D331" s="3"/>
      <c r="E331" s="3"/>
    </row>
    <row r="332" spans="2:5" ht="9.9499999999999993" customHeight="1" x14ac:dyDescent="0.25">
      <c r="B332" s="3"/>
      <c r="C332" s="3"/>
      <c r="D332" s="3"/>
      <c r="E332" s="3"/>
    </row>
    <row r="333" spans="2:5" ht="9.9499999999999993" customHeight="1" x14ac:dyDescent="0.25">
      <c r="B333" s="3"/>
      <c r="C333" s="3"/>
      <c r="D333" s="3"/>
      <c r="E333" s="3"/>
    </row>
    <row r="334" spans="2:5" ht="9.9499999999999993" customHeight="1" x14ac:dyDescent="0.25">
      <c r="B334" s="3"/>
      <c r="C334" s="3"/>
      <c r="D334" s="3"/>
      <c r="E334" s="3"/>
    </row>
    <row r="335" spans="2:5" ht="9.9499999999999993" customHeight="1" x14ac:dyDescent="0.25">
      <c r="B335" s="3"/>
      <c r="C335" s="3"/>
      <c r="D335" s="3"/>
      <c r="E335" s="3"/>
    </row>
    <row r="336" spans="2:5" ht="9.9499999999999993" customHeight="1" x14ac:dyDescent="0.25">
      <c r="B336" s="3"/>
      <c r="C336" s="3"/>
      <c r="D336" s="3"/>
      <c r="E336" s="3"/>
    </row>
    <row r="337" spans="2:5" ht="9.9499999999999993" customHeight="1" x14ac:dyDescent="0.25">
      <c r="B337" s="3"/>
      <c r="C337" s="3"/>
      <c r="D337" s="3"/>
      <c r="E337" s="3"/>
    </row>
    <row r="338" spans="2:5" ht="9.9499999999999993" customHeight="1" x14ac:dyDescent="0.25">
      <c r="B338" s="3"/>
      <c r="C338" s="3"/>
      <c r="D338" s="3"/>
      <c r="E338" s="3"/>
    </row>
    <row r="339" spans="2:5" ht="9.9499999999999993" customHeight="1" x14ac:dyDescent="0.25">
      <c r="B339" s="3"/>
      <c r="C339" s="3"/>
      <c r="D339" s="3"/>
      <c r="E339" s="3"/>
    </row>
    <row r="340" spans="2:5" ht="9.9499999999999993" customHeight="1" x14ac:dyDescent="0.25">
      <c r="B340" s="3"/>
      <c r="C340" s="3"/>
      <c r="D340" s="3"/>
      <c r="E340" s="3"/>
    </row>
    <row r="341" spans="2:5" ht="9.9499999999999993" customHeight="1" x14ac:dyDescent="0.25">
      <c r="B341" s="3"/>
      <c r="C341" s="3"/>
      <c r="D341" s="3"/>
      <c r="E341" s="3"/>
    </row>
    <row r="342" spans="2:5" ht="9.9499999999999993" customHeight="1" x14ac:dyDescent="0.25">
      <c r="B342" s="3"/>
      <c r="C342" s="3"/>
      <c r="D342" s="3"/>
      <c r="E342" s="3"/>
    </row>
    <row r="343" spans="2:5" ht="9.9499999999999993" customHeight="1" x14ac:dyDescent="0.25">
      <c r="B343" s="3"/>
      <c r="C343" s="3"/>
      <c r="D343" s="3"/>
      <c r="E343" s="3"/>
    </row>
    <row r="344" spans="2:5" ht="9.9499999999999993" customHeight="1" x14ac:dyDescent="0.25">
      <c r="B344" s="3"/>
      <c r="C344" s="3"/>
      <c r="D344" s="3"/>
      <c r="E344" s="3"/>
    </row>
    <row r="345" spans="2:5" ht="9.9499999999999993" customHeight="1" x14ac:dyDescent="0.25">
      <c r="B345" s="3"/>
      <c r="C345" s="3"/>
      <c r="D345" s="3"/>
      <c r="E345" s="3"/>
    </row>
    <row r="346" spans="2:5" ht="9.9499999999999993" customHeight="1" x14ac:dyDescent="0.25">
      <c r="B346" s="3"/>
      <c r="C346" s="3"/>
      <c r="D346" s="3"/>
      <c r="E346" s="3"/>
    </row>
    <row r="347" spans="2:5" ht="9.9499999999999993" customHeight="1" x14ac:dyDescent="0.25">
      <c r="B347" s="3"/>
      <c r="C347" s="3"/>
      <c r="D347" s="3"/>
      <c r="E347" s="3"/>
    </row>
    <row r="348" spans="2:5" ht="9.9499999999999993" customHeight="1" x14ac:dyDescent="0.25">
      <c r="B348" s="3"/>
      <c r="C348" s="3"/>
      <c r="D348" s="3"/>
      <c r="E348" s="3"/>
    </row>
    <row r="349" spans="2:5" ht="9.9499999999999993" customHeight="1" x14ac:dyDescent="0.25">
      <c r="B349" s="3"/>
      <c r="C349" s="3"/>
      <c r="D349" s="3"/>
      <c r="E349" s="3"/>
    </row>
    <row r="350" spans="2:5" ht="9.9499999999999993" customHeight="1" x14ac:dyDescent="0.25">
      <c r="B350" s="3"/>
      <c r="C350" s="3"/>
      <c r="D350" s="3"/>
      <c r="E350" s="3"/>
    </row>
    <row r="351" spans="2:5" ht="9.9499999999999993" customHeight="1" x14ac:dyDescent="0.25">
      <c r="B351" s="3"/>
      <c r="C351" s="3"/>
      <c r="D351" s="3"/>
      <c r="E351" s="3"/>
    </row>
    <row r="352" spans="2:5" ht="9.9499999999999993" customHeight="1" x14ac:dyDescent="0.25">
      <c r="B352" s="3"/>
      <c r="C352" s="3"/>
      <c r="D352" s="3"/>
      <c r="E352" s="3"/>
    </row>
    <row r="353" spans="2:5" ht="9.9499999999999993" customHeight="1" x14ac:dyDescent="0.25">
      <c r="B353" s="3"/>
      <c r="C353" s="3"/>
      <c r="D353" s="3"/>
      <c r="E353" s="3"/>
    </row>
    <row r="354" spans="2:5" ht="9.9499999999999993" customHeight="1" x14ac:dyDescent="0.25">
      <c r="B354" s="3"/>
      <c r="C354" s="3"/>
      <c r="D354" s="3"/>
      <c r="E354" s="3"/>
    </row>
    <row r="355" spans="2:5" ht="9.9499999999999993" customHeight="1" x14ac:dyDescent="0.25">
      <c r="B355" s="3"/>
      <c r="C355" s="3"/>
      <c r="D355" s="3"/>
      <c r="E355" s="3"/>
    </row>
    <row r="356" spans="2:5" ht="9.9499999999999993" customHeight="1" x14ac:dyDescent="0.25">
      <c r="B356" s="3"/>
      <c r="C356" s="3"/>
      <c r="D356" s="3"/>
      <c r="E356" s="3"/>
    </row>
    <row r="357" spans="2:5" ht="9.9499999999999993" customHeight="1" x14ac:dyDescent="0.25">
      <c r="B357" s="3"/>
      <c r="C357" s="3"/>
      <c r="D357" s="3"/>
      <c r="E357" s="3"/>
    </row>
    <row r="358" spans="2:5" ht="9.9499999999999993" customHeight="1" x14ac:dyDescent="0.25">
      <c r="B358" s="3"/>
      <c r="C358" s="3"/>
      <c r="D358" s="3"/>
      <c r="E358" s="3"/>
    </row>
    <row r="359" spans="2:5" ht="9.9499999999999993" customHeight="1" x14ac:dyDescent="0.25">
      <c r="B359" s="3"/>
      <c r="C359" s="3"/>
      <c r="D359" s="3"/>
      <c r="E359" s="3"/>
    </row>
    <row r="360" spans="2:5" ht="9.9499999999999993" customHeight="1" x14ac:dyDescent="0.25">
      <c r="B360" s="3"/>
      <c r="C360" s="3"/>
      <c r="D360" s="3"/>
      <c r="E360" s="3"/>
    </row>
    <row r="361" spans="2:5" ht="9.9499999999999993" customHeight="1" x14ac:dyDescent="0.25">
      <c r="B361" s="3"/>
      <c r="C361" s="3"/>
      <c r="D361" s="3"/>
      <c r="E361" s="3"/>
    </row>
    <row r="362" spans="2:5" ht="9.9499999999999993" customHeight="1" x14ac:dyDescent="0.25">
      <c r="B362" s="3"/>
      <c r="C362" s="3"/>
      <c r="D362" s="3"/>
      <c r="E362" s="3"/>
    </row>
    <row r="363" spans="2:5" ht="9.9499999999999993" customHeight="1" x14ac:dyDescent="0.25">
      <c r="B363" s="3"/>
      <c r="C363" s="3"/>
      <c r="D363" s="3"/>
      <c r="E363" s="3"/>
    </row>
    <row r="364" spans="2:5" ht="9.9499999999999993" customHeight="1" x14ac:dyDescent="0.25">
      <c r="B364" s="3"/>
      <c r="C364" s="3"/>
      <c r="D364" s="3"/>
      <c r="E364" s="3"/>
    </row>
    <row r="365" spans="2:5" ht="9.9499999999999993" customHeight="1" x14ac:dyDescent="0.25">
      <c r="B365" s="3"/>
      <c r="C365" s="3"/>
      <c r="D365" s="3"/>
      <c r="E365" s="3"/>
    </row>
    <row r="366" spans="2:5" ht="9.9499999999999993" customHeight="1" x14ac:dyDescent="0.25">
      <c r="B366" s="3"/>
      <c r="C366" s="3"/>
      <c r="D366" s="3"/>
      <c r="E366" s="3"/>
    </row>
    <row r="367" spans="2:5" ht="9.9499999999999993" customHeight="1" x14ac:dyDescent="0.25">
      <c r="B367" s="3"/>
      <c r="C367" s="3"/>
      <c r="D367" s="3"/>
      <c r="E367" s="3"/>
    </row>
    <row r="368" spans="2:5" ht="9.9499999999999993" customHeight="1" x14ac:dyDescent="0.25">
      <c r="B368" s="3"/>
      <c r="C368" s="3"/>
      <c r="D368" s="3"/>
      <c r="E368" s="3"/>
    </row>
    <row r="369" spans="2:5" ht="9.9499999999999993" customHeight="1" x14ac:dyDescent="0.25">
      <c r="B369" s="3"/>
      <c r="C369" s="3"/>
      <c r="D369" s="3"/>
      <c r="E369" s="3"/>
    </row>
    <row r="370" spans="2:5" ht="9.9499999999999993" customHeight="1" x14ac:dyDescent="0.25">
      <c r="B370" s="3"/>
      <c r="C370" s="3"/>
      <c r="D370" s="3"/>
      <c r="E370" s="3"/>
    </row>
    <row r="371" spans="2:5" ht="9.9499999999999993" customHeight="1" x14ac:dyDescent="0.25">
      <c r="B371" s="3"/>
      <c r="C371" s="3"/>
      <c r="D371" s="3"/>
      <c r="E371" s="3"/>
    </row>
    <row r="372" spans="2:5" ht="9.9499999999999993" customHeight="1" x14ac:dyDescent="0.25">
      <c r="B372" s="3"/>
      <c r="C372" s="3"/>
      <c r="D372" s="3"/>
      <c r="E372" s="3"/>
    </row>
    <row r="373" spans="2:5" ht="9.9499999999999993" customHeight="1" x14ac:dyDescent="0.25">
      <c r="B373" s="3"/>
      <c r="C373" s="3"/>
      <c r="D373" s="3"/>
      <c r="E373" s="3"/>
    </row>
    <row r="374" spans="2:5" ht="9.9499999999999993" customHeight="1" x14ac:dyDescent="0.25">
      <c r="B374" s="3"/>
      <c r="C374" s="3"/>
      <c r="D374" s="3"/>
      <c r="E374" s="3"/>
    </row>
    <row r="375" spans="2:5" ht="9.9499999999999993" customHeight="1" x14ac:dyDescent="0.25">
      <c r="B375" s="3"/>
      <c r="C375" s="3"/>
      <c r="D375" s="3"/>
      <c r="E375" s="3"/>
    </row>
    <row r="376" spans="2:5" ht="9.9499999999999993" customHeight="1" x14ac:dyDescent="0.25">
      <c r="B376" s="3"/>
      <c r="C376" s="3"/>
      <c r="D376" s="3"/>
      <c r="E376" s="3"/>
    </row>
    <row r="377" spans="2:5" ht="9.9499999999999993" customHeight="1" x14ac:dyDescent="0.25">
      <c r="B377" s="3"/>
      <c r="C377" s="3"/>
      <c r="D377" s="3"/>
      <c r="E377" s="3"/>
    </row>
    <row r="378" spans="2:5" ht="9.9499999999999993" customHeight="1" x14ac:dyDescent="0.25">
      <c r="B378" s="3"/>
      <c r="C378" s="3"/>
      <c r="D378" s="3"/>
      <c r="E378" s="3"/>
    </row>
    <row r="379" spans="2:5" ht="9.9499999999999993" customHeight="1" x14ac:dyDescent="0.25">
      <c r="B379" s="3"/>
      <c r="C379" s="3"/>
      <c r="D379" s="3"/>
      <c r="E379" s="3"/>
    </row>
    <row r="380" spans="2:5" ht="9.9499999999999993" customHeight="1" x14ac:dyDescent="0.25">
      <c r="B380" s="3"/>
      <c r="C380" s="3"/>
      <c r="D380" s="3"/>
      <c r="E380" s="3"/>
    </row>
    <row r="381" spans="2:5" ht="9.9499999999999993" customHeight="1" x14ac:dyDescent="0.25">
      <c r="B381" s="3"/>
      <c r="C381" s="3"/>
      <c r="D381" s="3"/>
      <c r="E381" s="3"/>
    </row>
    <row r="382" spans="2:5" ht="9.9499999999999993" customHeight="1" x14ac:dyDescent="0.25">
      <c r="B382" s="3"/>
      <c r="C382" s="3"/>
      <c r="D382" s="3"/>
      <c r="E382" s="3"/>
    </row>
    <row r="383" spans="2:5" ht="9.9499999999999993" customHeight="1" x14ac:dyDescent="0.25">
      <c r="B383" s="3"/>
      <c r="C383" s="3"/>
      <c r="D383" s="3"/>
      <c r="E383" s="3"/>
    </row>
    <row r="384" spans="2:5" ht="9.9499999999999993" customHeight="1" x14ac:dyDescent="0.25">
      <c r="B384" s="3"/>
      <c r="C384" s="3"/>
      <c r="D384" s="3"/>
      <c r="E384" s="3"/>
    </row>
    <row r="385" spans="2:5" ht="9.9499999999999993" customHeight="1" x14ac:dyDescent="0.25">
      <c r="B385" s="3"/>
      <c r="C385" s="3"/>
      <c r="D385" s="3"/>
      <c r="E385" s="3"/>
    </row>
    <row r="386" spans="2:5" ht="9.9499999999999993" customHeight="1" x14ac:dyDescent="0.25">
      <c r="B386" s="3"/>
      <c r="C386" s="3"/>
      <c r="D386" s="3"/>
      <c r="E386" s="3"/>
    </row>
    <row r="387" spans="2:5" ht="9.9499999999999993" customHeight="1" x14ac:dyDescent="0.25">
      <c r="B387" s="3"/>
      <c r="C387" s="3"/>
      <c r="D387" s="3"/>
      <c r="E387" s="3"/>
    </row>
    <row r="388" spans="2:5" ht="9.9499999999999993" customHeight="1" x14ac:dyDescent="0.25">
      <c r="B388" s="3"/>
      <c r="C388" s="3"/>
      <c r="D388" s="3"/>
      <c r="E388" s="3"/>
    </row>
    <row r="389" spans="2:5" ht="9.9499999999999993" customHeight="1" x14ac:dyDescent="0.25">
      <c r="B389" s="3"/>
      <c r="C389" s="3"/>
      <c r="D389" s="3"/>
      <c r="E389" s="3"/>
    </row>
    <row r="390" spans="2:5" ht="9.9499999999999993" customHeight="1" x14ac:dyDescent="0.25">
      <c r="B390" s="3"/>
      <c r="C390" s="3"/>
      <c r="D390" s="3"/>
      <c r="E390" s="3"/>
    </row>
    <row r="391" spans="2:5" ht="9.9499999999999993" customHeight="1" x14ac:dyDescent="0.25">
      <c r="B391" s="3"/>
      <c r="C391" s="3"/>
      <c r="D391" s="3"/>
      <c r="E391" s="3"/>
    </row>
    <row r="392" spans="2:5" ht="9.9499999999999993" customHeight="1" x14ac:dyDescent="0.25">
      <c r="B392" s="3"/>
      <c r="C392" s="3"/>
      <c r="D392" s="3"/>
      <c r="E392" s="3"/>
    </row>
    <row r="393" spans="2:5" ht="9.9499999999999993" customHeight="1" x14ac:dyDescent="0.25">
      <c r="B393" s="3"/>
      <c r="C393" s="3"/>
      <c r="D393" s="3"/>
      <c r="E393" s="3"/>
    </row>
    <row r="394" spans="2:5" ht="9.9499999999999993" customHeight="1" x14ac:dyDescent="0.25">
      <c r="B394" s="3"/>
      <c r="C394" s="3"/>
      <c r="D394" s="3"/>
      <c r="E394" s="3"/>
    </row>
    <row r="395" spans="2:5" ht="9.9499999999999993" customHeight="1" x14ac:dyDescent="0.25">
      <c r="B395" s="3"/>
      <c r="C395" s="3"/>
      <c r="D395" s="3"/>
      <c r="E395" s="3"/>
    </row>
    <row r="396" spans="2:5" ht="9.9499999999999993" customHeight="1" x14ac:dyDescent="0.25">
      <c r="B396" s="3"/>
      <c r="C396" s="3"/>
      <c r="D396" s="3"/>
      <c r="E396" s="3"/>
    </row>
    <row r="397" spans="2:5" ht="9.9499999999999993" customHeight="1" x14ac:dyDescent="0.25">
      <c r="B397" s="3"/>
      <c r="C397" s="3"/>
      <c r="D397" s="3"/>
      <c r="E397" s="3"/>
    </row>
    <row r="398" spans="2:5" ht="9.9499999999999993" customHeight="1" x14ac:dyDescent="0.25">
      <c r="B398" s="3"/>
      <c r="C398" s="3"/>
      <c r="D398" s="3"/>
      <c r="E398" s="3"/>
    </row>
    <row r="399" spans="2:5" ht="9.9499999999999993" customHeight="1" x14ac:dyDescent="0.25">
      <c r="B399" s="3"/>
      <c r="C399" s="3"/>
      <c r="D399" s="3"/>
      <c r="E399" s="3"/>
    </row>
    <row r="400" spans="2:5" ht="9.9499999999999993" customHeight="1" x14ac:dyDescent="0.25">
      <c r="B400" s="3"/>
      <c r="C400" s="3"/>
      <c r="D400" s="3"/>
      <c r="E400" s="3"/>
    </row>
    <row r="401" spans="2:5" ht="9.9499999999999993" customHeight="1" x14ac:dyDescent="0.25">
      <c r="B401" s="3"/>
      <c r="C401" s="3"/>
      <c r="D401" s="3"/>
      <c r="E401" s="3"/>
    </row>
    <row r="402" spans="2:5" ht="9.9499999999999993" customHeight="1" x14ac:dyDescent="0.25">
      <c r="B402" s="3"/>
      <c r="C402" s="3"/>
      <c r="D402" s="3"/>
      <c r="E402" s="3"/>
    </row>
    <row r="403" spans="2:5" ht="9.9499999999999993" customHeight="1" x14ac:dyDescent="0.25">
      <c r="B403" s="3"/>
      <c r="C403" s="3"/>
      <c r="D403" s="3"/>
      <c r="E403" s="3"/>
    </row>
    <row r="404" spans="2:5" ht="9.9499999999999993" customHeight="1" x14ac:dyDescent="0.25">
      <c r="B404" s="3"/>
      <c r="C404" s="3"/>
      <c r="D404" s="3"/>
      <c r="E404" s="3"/>
    </row>
    <row r="405" spans="2:5" ht="9.9499999999999993" customHeight="1" x14ac:dyDescent="0.25">
      <c r="B405" s="3"/>
      <c r="C405" s="3"/>
      <c r="D405" s="3"/>
      <c r="E405" s="3"/>
    </row>
    <row r="406" spans="2:5" ht="9.9499999999999993" customHeight="1" x14ac:dyDescent="0.25">
      <c r="B406" s="3"/>
      <c r="C406" s="3"/>
      <c r="D406" s="3"/>
      <c r="E406" s="3"/>
    </row>
    <row r="407" spans="2:5" ht="9.9499999999999993" customHeight="1" x14ac:dyDescent="0.25">
      <c r="B407" s="3"/>
      <c r="C407" s="3"/>
      <c r="D407" s="3"/>
      <c r="E407" s="3"/>
    </row>
    <row r="408" spans="2:5" ht="9.9499999999999993" customHeight="1" x14ac:dyDescent="0.25">
      <c r="B408" s="3"/>
      <c r="C408" s="3"/>
      <c r="D408" s="3"/>
      <c r="E408" s="3"/>
    </row>
    <row r="409" spans="2:5" ht="9.9499999999999993" customHeight="1" x14ac:dyDescent="0.25">
      <c r="B409" s="3"/>
      <c r="C409" s="3"/>
      <c r="D409" s="3"/>
      <c r="E409" s="3"/>
    </row>
    <row r="410" spans="2:5" ht="9.9499999999999993" customHeight="1" x14ac:dyDescent="0.25">
      <c r="B410" s="3"/>
      <c r="C410" s="3"/>
      <c r="D410" s="3"/>
      <c r="E410" s="3"/>
    </row>
    <row r="411" spans="2:5" ht="9.9499999999999993" customHeight="1" x14ac:dyDescent="0.25">
      <c r="B411" s="3"/>
      <c r="C411" s="3"/>
      <c r="D411" s="3"/>
      <c r="E411" s="3"/>
    </row>
    <row r="412" spans="2:5" ht="9.9499999999999993" customHeight="1" x14ac:dyDescent="0.25">
      <c r="B412" s="3"/>
      <c r="C412" s="3"/>
      <c r="D412" s="3"/>
      <c r="E412" s="3"/>
    </row>
    <row r="413" spans="2:5" ht="9.9499999999999993" customHeight="1" x14ac:dyDescent="0.25">
      <c r="B413" s="3"/>
      <c r="C413" s="3"/>
      <c r="D413" s="3"/>
      <c r="E413" s="3"/>
    </row>
    <row r="414" spans="2:5" ht="9.9499999999999993" customHeight="1" x14ac:dyDescent="0.25">
      <c r="B414" s="3"/>
      <c r="C414" s="3"/>
      <c r="D414" s="3"/>
      <c r="E414" s="3"/>
    </row>
    <row r="415" spans="2:5" ht="9.9499999999999993" customHeight="1" x14ac:dyDescent="0.25">
      <c r="B415" s="3"/>
      <c r="C415" s="3"/>
      <c r="D415" s="3"/>
      <c r="E415" s="3"/>
    </row>
    <row r="416" spans="2:5" ht="9.9499999999999993" customHeight="1" x14ac:dyDescent="0.25">
      <c r="B416" s="3"/>
      <c r="C416" s="3"/>
      <c r="D416" s="3"/>
      <c r="E416" s="3"/>
    </row>
    <row r="417" spans="2:5" ht="9.9499999999999993" customHeight="1" x14ac:dyDescent="0.25">
      <c r="B417" s="3"/>
      <c r="C417" s="3"/>
      <c r="D417" s="3"/>
      <c r="E417" s="3"/>
    </row>
    <row r="418" spans="2:5" ht="9.9499999999999993" customHeight="1" x14ac:dyDescent="0.25">
      <c r="B418" s="3"/>
      <c r="C418" s="3"/>
      <c r="D418" s="3"/>
      <c r="E418" s="3"/>
    </row>
    <row r="419" spans="2:5" ht="9.9499999999999993" customHeight="1" x14ac:dyDescent="0.25">
      <c r="B419" s="3"/>
      <c r="C419" s="3"/>
      <c r="D419" s="3"/>
      <c r="E419" s="3"/>
    </row>
    <row r="420" spans="2:5" ht="9.9499999999999993" customHeight="1" x14ac:dyDescent="0.25">
      <c r="B420" s="3"/>
      <c r="C420" s="3"/>
      <c r="D420" s="3"/>
      <c r="E420" s="3"/>
    </row>
    <row r="421" spans="2:5" ht="9.9499999999999993" customHeight="1" x14ac:dyDescent="0.25">
      <c r="B421" s="3"/>
      <c r="C421" s="3"/>
      <c r="D421" s="3"/>
      <c r="E421" s="3"/>
    </row>
    <row r="422" spans="2:5" ht="9.9499999999999993" customHeight="1" x14ac:dyDescent="0.25">
      <c r="B422" s="3"/>
      <c r="C422" s="3"/>
      <c r="D422" s="3"/>
      <c r="E422" s="3"/>
    </row>
    <row r="423" spans="2:5" ht="9.9499999999999993" customHeight="1" x14ac:dyDescent="0.25">
      <c r="B423" s="3"/>
      <c r="C423" s="3"/>
      <c r="D423" s="3"/>
      <c r="E423" s="3"/>
    </row>
    <row r="424" spans="2:5" ht="9.9499999999999993" customHeight="1" x14ac:dyDescent="0.25">
      <c r="B424" s="3"/>
      <c r="C424" s="3"/>
      <c r="D424" s="3"/>
      <c r="E424" s="3"/>
    </row>
    <row r="425" spans="2:5" ht="9.9499999999999993" customHeight="1" x14ac:dyDescent="0.25">
      <c r="B425" s="3"/>
      <c r="C425" s="3"/>
      <c r="D425" s="3"/>
      <c r="E425" s="3"/>
    </row>
    <row r="426" spans="2:5" ht="9.9499999999999993" customHeight="1" x14ac:dyDescent="0.25">
      <c r="B426" s="3"/>
      <c r="C426" s="3"/>
      <c r="D426" s="3"/>
      <c r="E426" s="3"/>
    </row>
    <row r="427" spans="2:5" ht="9.9499999999999993" customHeight="1" x14ac:dyDescent="0.25">
      <c r="B427" s="3"/>
      <c r="C427" s="3"/>
      <c r="D427" s="3"/>
      <c r="E427" s="3"/>
    </row>
    <row r="428" spans="2:5" ht="9.9499999999999993" customHeight="1" x14ac:dyDescent="0.25">
      <c r="B428" s="3"/>
      <c r="C428" s="3"/>
      <c r="D428" s="3"/>
      <c r="E428" s="3"/>
    </row>
    <row r="429" spans="2:5" ht="9.9499999999999993" customHeight="1" x14ac:dyDescent="0.25">
      <c r="B429" s="3"/>
      <c r="C429" s="3"/>
      <c r="D429" s="3"/>
      <c r="E429" s="3"/>
    </row>
    <row r="430" spans="2:5" ht="9.9499999999999993" customHeight="1" x14ac:dyDescent="0.25">
      <c r="B430" s="3"/>
      <c r="C430" s="3"/>
      <c r="D430" s="3"/>
      <c r="E430" s="3"/>
    </row>
    <row r="431" spans="2:5" ht="9.9499999999999993" customHeight="1" x14ac:dyDescent="0.25">
      <c r="B431" s="3"/>
      <c r="C431" s="3"/>
      <c r="D431" s="3"/>
      <c r="E431" s="3"/>
    </row>
    <row r="432" spans="2:5" ht="9.9499999999999993" customHeight="1" x14ac:dyDescent="0.25">
      <c r="B432" s="3"/>
      <c r="C432" s="3"/>
      <c r="D432" s="3"/>
      <c r="E432" s="3"/>
    </row>
    <row r="433" spans="2:5" ht="9.9499999999999993" customHeight="1" x14ac:dyDescent="0.25">
      <c r="B433" s="3"/>
      <c r="C433" s="3"/>
      <c r="D433" s="3"/>
      <c r="E433" s="3"/>
    </row>
    <row r="434" spans="2:5" ht="9.9499999999999993" customHeight="1" x14ac:dyDescent="0.25">
      <c r="B434" s="3"/>
      <c r="C434" s="3"/>
      <c r="D434" s="3"/>
      <c r="E434" s="3"/>
    </row>
    <row r="435" spans="2:5" ht="9.9499999999999993" customHeight="1" x14ac:dyDescent="0.25">
      <c r="B435" s="3"/>
      <c r="C435" s="3"/>
      <c r="D435" s="3"/>
      <c r="E435" s="3"/>
    </row>
    <row r="436" spans="2:5" ht="9.9499999999999993" customHeight="1" x14ac:dyDescent="0.25">
      <c r="B436" s="3"/>
      <c r="C436" s="3"/>
      <c r="D436" s="3"/>
      <c r="E436" s="3"/>
    </row>
    <row r="437" spans="2:5" ht="9.9499999999999993" customHeight="1" x14ac:dyDescent="0.25">
      <c r="B437" s="3"/>
      <c r="C437" s="3"/>
      <c r="D437" s="3"/>
      <c r="E437" s="3"/>
    </row>
    <row r="438" spans="2:5" ht="9.9499999999999993" customHeight="1" x14ac:dyDescent="0.25">
      <c r="B438" s="3"/>
      <c r="C438" s="3"/>
      <c r="D438" s="3"/>
      <c r="E438" s="3"/>
    </row>
    <row r="439" spans="2:5" ht="9.9499999999999993" customHeight="1" x14ac:dyDescent="0.25">
      <c r="B439" s="3"/>
      <c r="C439" s="3"/>
      <c r="D439" s="3"/>
      <c r="E439" s="3"/>
    </row>
    <row r="440" spans="2:5" ht="9.9499999999999993" customHeight="1" x14ac:dyDescent="0.25">
      <c r="B440" s="3"/>
      <c r="C440" s="3"/>
      <c r="D440" s="3"/>
      <c r="E440" s="3"/>
    </row>
    <row r="441" spans="2:5" ht="9.9499999999999993" customHeight="1" x14ac:dyDescent="0.25">
      <c r="B441" s="3"/>
      <c r="C441" s="3"/>
      <c r="D441" s="3"/>
      <c r="E441" s="3"/>
    </row>
    <row r="442" spans="2:5" ht="9.9499999999999993" customHeight="1" x14ac:dyDescent="0.25">
      <c r="B442" s="3"/>
      <c r="C442" s="3"/>
      <c r="D442" s="3"/>
      <c r="E442" s="3"/>
    </row>
    <row r="443" spans="2:5" ht="9.9499999999999993" customHeight="1" x14ac:dyDescent="0.25">
      <c r="B443" s="3"/>
      <c r="C443" s="3"/>
      <c r="D443" s="3"/>
      <c r="E443" s="3"/>
    </row>
    <row r="444" spans="2:5" ht="9.9499999999999993" customHeight="1" x14ac:dyDescent="0.25">
      <c r="B444" s="3"/>
      <c r="C444" s="3"/>
      <c r="D444" s="3"/>
      <c r="E444" s="3"/>
    </row>
    <row r="445" spans="2:5" ht="9.9499999999999993" customHeight="1" x14ac:dyDescent="0.25">
      <c r="B445" s="3"/>
      <c r="C445" s="3"/>
      <c r="D445" s="3"/>
      <c r="E445" s="3"/>
    </row>
    <row r="446" spans="2:5" ht="9.9499999999999993" customHeight="1" x14ac:dyDescent="0.25">
      <c r="B446" s="3"/>
      <c r="C446" s="3"/>
      <c r="D446" s="3"/>
      <c r="E446" s="3"/>
    </row>
    <row r="447" spans="2:5" ht="9.9499999999999993" customHeight="1" x14ac:dyDescent="0.25">
      <c r="B447" s="3"/>
      <c r="C447" s="3"/>
      <c r="D447" s="3"/>
      <c r="E447" s="3"/>
    </row>
    <row r="448" spans="2:5" ht="9.9499999999999993" customHeight="1" x14ac:dyDescent="0.25">
      <c r="B448" s="3"/>
      <c r="C448" s="3"/>
      <c r="D448" s="3"/>
      <c r="E448" s="3"/>
    </row>
    <row r="449" spans="2:5" ht="9.9499999999999993" customHeight="1" x14ac:dyDescent="0.25">
      <c r="B449" s="3"/>
      <c r="C449" s="3"/>
      <c r="D449" s="3"/>
      <c r="E449" s="3"/>
    </row>
    <row r="450" spans="2:5" ht="9.9499999999999993" customHeight="1" x14ac:dyDescent="0.25">
      <c r="B450" s="3"/>
      <c r="C450" s="3"/>
      <c r="D450" s="3"/>
      <c r="E450" s="3"/>
    </row>
    <row r="451" spans="2:5" ht="9.9499999999999993" customHeight="1" x14ac:dyDescent="0.25">
      <c r="B451" s="3"/>
      <c r="C451" s="3"/>
      <c r="D451" s="3"/>
      <c r="E451" s="3"/>
    </row>
    <row r="452" spans="2:5" ht="9.9499999999999993" customHeight="1" x14ac:dyDescent="0.25">
      <c r="B452" s="3"/>
      <c r="C452" s="3"/>
      <c r="D452" s="3"/>
      <c r="E452" s="3"/>
    </row>
    <row r="453" spans="2:5" ht="9.9499999999999993" customHeight="1" x14ac:dyDescent="0.25">
      <c r="B453" s="3"/>
      <c r="C453" s="3"/>
      <c r="D453" s="3"/>
      <c r="E453" s="3"/>
    </row>
    <row r="454" spans="2:5" ht="9.9499999999999993" customHeight="1" x14ac:dyDescent="0.25">
      <c r="B454" s="3"/>
      <c r="C454" s="3"/>
      <c r="D454" s="3"/>
      <c r="E454" s="3"/>
    </row>
    <row r="455" spans="2:5" ht="9.9499999999999993" customHeight="1" x14ac:dyDescent="0.25">
      <c r="B455" s="3"/>
      <c r="C455" s="3"/>
      <c r="D455" s="3"/>
      <c r="E455" s="3"/>
    </row>
    <row r="456" spans="2:5" ht="9.9499999999999993" customHeight="1" x14ac:dyDescent="0.25">
      <c r="B456" s="3"/>
      <c r="C456" s="3"/>
      <c r="D456" s="3"/>
      <c r="E456" s="3"/>
    </row>
    <row r="457" spans="2:5" ht="9.9499999999999993" customHeight="1" x14ac:dyDescent="0.25">
      <c r="B457" s="3"/>
      <c r="C457" s="3"/>
      <c r="D457" s="3"/>
      <c r="E457" s="3"/>
    </row>
    <row r="458" spans="2:5" ht="9.9499999999999993" customHeight="1" x14ac:dyDescent="0.25">
      <c r="B458" s="3"/>
      <c r="C458" s="3"/>
      <c r="D458" s="3"/>
      <c r="E458" s="3"/>
    </row>
    <row r="459" spans="2:5" ht="9.9499999999999993" customHeight="1" x14ac:dyDescent="0.25">
      <c r="B459" s="3"/>
      <c r="C459" s="3"/>
      <c r="D459" s="3"/>
      <c r="E459" s="3"/>
    </row>
    <row r="460" spans="2:5" ht="9.9499999999999993" customHeight="1" x14ac:dyDescent="0.25">
      <c r="B460" s="3"/>
      <c r="C460" s="3"/>
      <c r="D460" s="3"/>
      <c r="E460" s="3"/>
    </row>
    <row r="461" spans="2:5" ht="9.9499999999999993" customHeight="1" x14ac:dyDescent="0.25">
      <c r="B461" s="3"/>
      <c r="C461" s="3"/>
      <c r="D461" s="3"/>
      <c r="E461" s="3"/>
    </row>
    <row r="462" spans="2:5" ht="9.9499999999999993" customHeight="1" x14ac:dyDescent="0.25">
      <c r="B462" s="3"/>
      <c r="C462" s="3"/>
      <c r="D462" s="3"/>
      <c r="E462" s="3"/>
    </row>
    <row r="463" spans="2:5" ht="9.9499999999999993" customHeight="1" x14ac:dyDescent="0.25">
      <c r="B463" s="3"/>
      <c r="C463" s="3"/>
      <c r="D463" s="3"/>
      <c r="E463" s="3"/>
    </row>
    <row r="464" spans="2:5" ht="9.9499999999999993" customHeight="1" x14ac:dyDescent="0.25">
      <c r="B464" s="3"/>
      <c r="C464" s="3"/>
      <c r="D464" s="3"/>
      <c r="E464" s="3"/>
    </row>
    <row r="465" spans="2:5" ht="9.9499999999999993" customHeight="1" x14ac:dyDescent="0.25">
      <c r="B465" s="3"/>
      <c r="C465" s="3"/>
      <c r="D465" s="3"/>
      <c r="E465" s="3"/>
    </row>
    <row r="466" spans="2:5" ht="9.9499999999999993" customHeight="1" x14ac:dyDescent="0.25">
      <c r="B466" s="3"/>
      <c r="C466" s="3"/>
      <c r="D466" s="3"/>
      <c r="E466" s="3"/>
    </row>
    <row r="467" spans="2:5" ht="9.9499999999999993" customHeight="1" x14ac:dyDescent="0.25">
      <c r="B467" s="3"/>
      <c r="C467" s="3"/>
      <c r="D467" s="3"/>
      <c r="E467" s="3"/>
    </row>
    <row r="468" spans="2:5" ht="9.9499999999999993" customHeight="1" x14ac:dyDescent="0.25">
      <c r="B468" s="3"/>
      <c r="C468" s="3"/>
      <c r="D468" s="3"/>
      <c r="E468" s="3"/>
    </row>
    <row r="469" spans="2:5" ht="9.9499999999999993" customHeight="1" x14ac:dyDescent="0.25">
      <c r="B469" s="3"/>
      <c r="C469" s="3"/>
      <c r="D469" s="3"/>
      <c r="E469" s="3"/>
    </row>
    <row r="470" spans="2:5" ht="9.9499999999999993" customHeight="1" x14ac:dyDescent="0.25">
      <c r="B470" s="3"/>
      <c r="C470" s="3"/>
      <c r="D470" s="3"/>
      <c r="E470" s="3"/>
    </row>
    <row r="471" spans="2:5" ht="9.9499999999999993" customHeight="1" x14ac:dyDescent="0.25">
      <c r="B471" s="3"/>
      <c r="C471" s="3"/>
      <c r="D471" s="3"/>
      <c r="E471" s="3"/>
    </row>
    <row r="472" spans="2:5" ht="9.9499999999999993" customHeight="1" x14ac:dyDescent="0.25">
      <c r="B472" s="3"/>
      <c r="C472" s="3"/>
      <c r="D472" s="3"/>
      <c r="E472" s="3"/>
    </row>
    <row r="473" spans="2:5" ht="9.9499999999999993" customHeight="1" x14ac:dyDescent="0.25">
      <c r="B473" s="3"/>
      <c r="C473" s="3"/>
      <c r="D473" s="3"/>
      <c r="E473" s="3"/>
    </row>
    <row r="474" spans="2:5" ht="9.9499999999999993" customHeight="1" x14ac:dyDescent="0.25">
      <c r="B474" s="3"/>
      <c r="C474" s="3"/>
      <c r="D474" s="3"/>
      <c r="E474" s="3"/>
    </row>
    <row r="475" spans="2:5" ht="9.9499999999999993" customHeight="1" x14ac:dyDescent="0.25">
      <c r="B475" s="3"/>
      <c r="C475" s="3"/>
      <c r="D475" s="3"/>
      <c r="E475" s="3"/>
    </row>
    <row r="476" spans="2:5" ht="9.9499999999999993" customHeight="1" x14ac:dyDescent="0.25">
      <c r="B476" s="3"/>
      <c r="C476" s="3"/>
      <c r="D476" s="3"/>
      <c r="E476" s="3"/>
    </row>
    <row r="477" spans="2:5" ht="9.9499999999999993" customHeight="1" x14ac:dyDescent="0.25">
      <c r="B477" s="3"/>
      <c r="C477" s="3"/>
      <c r="D477" s="3"/>
      <c r="E477" s="3"/>
    </row>
    <row r="478" spans="2:5" ht="9.9499999999999993" customHeight="1" x14ac:dyDescent="0.25">
      <c r="B478" s="3"/>
      <c r="C478" s="3"/>
      <c r="D478" s="3"/>
      <c r="E478" s="3"/>
    </row>
    <row r="479" spans="2:5" ht="9.9499999999999993" customHeight="1" x14ac:dyDescent="0.25">
      <c r="B479" s="3"/>
      <c r="C479" s="3"/>
      <c r="D479" s="3"/>
      <c r="E479" s="3"/>
    </row>
    <row r="480" spans="2:5" ht="9.9499999999999993" customHeight="1" x14ac:dyDescent="0.25">
      <c r="B480" s="3"/>
      <c r="C480" s="3"/>
      <c r="D480" s="3"/>
      <c r="E480" s="3"/>
    </row>
    <row r="481" spans="2:5" ht="9.9499999999999993" customHeight="1" x14ac:dyDescent="0.25">
      <c r="B481" s="3"/>
      <c r="C481" s="3"/>
      <c r="D481" s="3"/>
      <c r="E481" s="3"/>
    </row>
    <row r="482" spans="2:5" ht="9.9499999999999993" customHeight="1" x14ac:dyDescent="0.25">
      <c r="B482" s="3"/>
      <c r="C482" s="3"/>
      <c r="D482" s="3"/>
      <c r="E482" s="3"/>
    </row>
    <row r="483" spans="2:5" ht="9.9499999999999993" customHeight="1" x14ac:dyDescent="0.25">
      <c r="B483" s="3"/>
      <c r="C483" s="3"/>
      <c r="D483" s="3"/>
      <c r="E483" s="3"/>
    </row>
    <row r="484" spans="2:5" ht="9.9499999999999993" customHeight="1" x14ac:dyDescent="0.25">
      <c r="B484" s="3"/>
      <c r="C484" s="3"/>
      <c r="D484" s="3"/>
      <c r="E484" s="3"/>
    </row>
    <row r="485" spans="2:5" ht="9.9499999999999993" customHeight="1" x14ac:dyDescent="0.25">
      <c r="B485" s="3"/>
      <c r="C485" s="3"/>
      <c r="D485" s="3"/>
      <c r="E485" s="3"/>
    </row>
    <row r="486" spans="2:5" ht="9.9499999999999993" customHeight="1" x14ac:dyDescent="0.25">
      <c r="B486" s="3"/>
      <c r="C486" s="3"/>
      <c r="D486" s="3"/>
      <c r="E486" s="3"/>
    </row>
    <row r="487" spans="2:5" ht="9.9499999999999993" customHeight="1" x14ac:dyDescent="0.25">
      <c r="B487" s="3"/>
      <c r="C487" s="3"/>
      <c r="D487" s="3"/>
      <c r="E487" s="3"/>
    </row>
    <row r="488" spans="2:5" ht="9.9499999999999993" customHeight="1" x14ac:dyDescent="0.25">
      <c r="B488" s="3"/>
      <c r="C488" s="3"/>
      <c r="D488" s="3"/>
      <c r="E488" s="3"/>
    </row>
    <row r="489" spans="2:5" ht="9.9499999999999993" customHeight="1" x14ac:dyDescent="0.25">
      <c r="B489" s="3"/>
      <c r="C489" s="3"/>
      <c r="D489" s="3"/>
      <c r="E489" s="3"/>
    </row>
    <row r="490" spans="2:5" ht="9.9499999999999993" customHeight="1" x14ac:dyDescent="0.25">
      <c r="B490" s="3"/>
      <c r="C490" s="3"/>
      <c r="D490" s="3"/>
      <c r="E490" s="3"/>
    </row>
    <row r="491" spans="2:5" ht="9.9499999999999993" customHeight="1" x14ac:dyDescent="0.25">
      <c r="B491" s="3"/>
      <c r="C491" s="3"/>
      <c r="D491" s="3"/>
      <c r="E491" s="3"/>
    </row>
    <row r="492" spans="2:5" ht="9.9499999999999993" customHeight="1" x14ac:dyDescent="0.25">
      <c r="B492" s="3"/>
      <c r="C492" s="3"/>
      <c r="D492" s="3"/>
      <c r="E492" s="3"/>
    </row>
    <row r="493" spans="2:5" ht="9.9499999999999993" customHeight="1" x14ac:dyDescent="0.25">
      <c r="B493" s="3"/>
      <c r="C493" s="3"/>
      <c r="D493" s="3"/>
      <c r="E493" s="3"/>
    </row>
    <row r="494" spans="2:5" ht="9.9499999999999993" customHeight="1" x14ac:dyDescent="0.25">
      <c r="B494" s="3"/>
      <c r="C494" s="3"/>
      <c r="D494" s="3"/>
      <c r="E494" s="3"/>
    </row>
    <row r="495" spans="2:5" ht="9.9499999999999993" customHeight="1" x14ac:dyDescent="0.25">
      <c r="B495" s="3"/>
      <c r="C495" s="3"/>
      <c r="D495" s="3"/>
      <c r="E495" s="3"/>
    </row>
    <row r="496" spans="2:5" ht="9.9499999999999993" customHeight="1" x14ac:dyDescent="0.25">
      <c r="B496" s="3"/>
      <c r="C496" s="3"/>
      <c r="D496" s="3"/>
      <c r="E496" s="3"/>
    </row>
    <row r="497" spans="2:5" ht="9.9499999999999993" customHeight="1" x14ac:dyDescent="0.25">
      <c r="B497" s="3"/>
      <c r="C497" s="3"/>
      <c r="D497" s="3"/>
      <c r="E497" s="3"/>
    </row>
    <row r="498" spans="2:5" ht="9.9499999999999993" customHeight="1" x14ac:dyDescent="0.25">
      <c r="B498" s="3"/>
      <c r="C498" s="3"/>
      <c r="D498" s="3"/>
      <c r="E498" s="3"/>
    </row>
    <row r="499" spans="2:5" ht="9.9499999999999993" customHeight="1" x14ac:dyDescent="0.25">
      <c r="B499" s="3"/>
      <c r="C499" s="3"/>
      <c r="D499" s="3"/>
      <c r="E499" s="3"/>
    </row>
    <row r="500" spans="2:5" ht="9.9499999999999993" customHeight="1" x14ac:dyDescent="0.25">
      <c r="B500" s="3"/>
      <c r="C500" s="3"/>
      <c r="D500" s="3"/>
      <c r="E500" s="3"/>
    </row>
    <row r="501" spans="2:5" ht="9.9499999999999993" customHeight="1" x14ac:dyDescent="0.25">
      <c r="B501" s="3"/>
      <c r="C501" s="3"/>
      <c r="D501" s="3"/>
      <c r="E501" s="3"/>
    </row>
    <row r="502" spans="2:5" ht="9.9499999999999993" customHeight="1" x14ac:dyDescent="0.25">
      <c r="B502" s="3"/>
      <c r="C502" s="3"/>
      <c r="D502" s="3"/>
      <c r="E502" s="3"/>
    </row>
    <row r="503" spans="2:5" ht="9.9499999999999993" customHeight="1" x14ac:dyDescent="0.25">
      <c r="B503" s="3"/>
      <c r="C503" s="3"/>
      <c r="D503" s="3"/>
      <c r="E503" s="3"/>
    </row>
    <row r="504" spans="2:5" ht="9.9499999999999993" customHeight="1" x14ac:dyDescent="0.25">
      <c r="B504" s="3"/>
      <c r="C504" s="3"/>
      <c r="D504" s="3"/>
      <c r="E504" s="3"/>
    </row>
    <row r="505" spans="2:5" ht="9.9499999999999993" customHeight="1" x14ac:dyDescent="0.25">
      <c r="B505" s="3"/>
      <c r="C505" s="3"/>
      <c r="D505" s="3"/>
      <c r="E505" s="3"/>
    </row>
    <row r="506" spans="2:5" ht="9.9499999999999993" customHeight="1" x14ac:dyDescent="0.25">
      <c r="B506" s="3"/>
      <c r="C506" s="3"/>
      <c r="D506" s="3"/>
      <c r="E506" s="3"/>
    </row>
    <row r="507" spans="2:5" ht="9.9499999999999993" customHeight="1" x14ac:dyDescent="0.25">
      <c r="B507" s="3"/>
      <c r="C507" s="3"/>
      <c r="D507" s="3"/>
      <c r="E507" s="3"/>
    </row>
    <row r="508" spans="2:5" ht="9.9499999999999993" customHeight="1" x14ac:dyDescent="0.25">
      <c r="B508" s="3"/>
      <c r="C508" s="3"/>
      <c r="D508" s="3"/>
      <c r="E508" s="3"/>
    </row>
    <row r="509" spans="2:5" ht="9.9499999999999993" customHeight="1" x14ac:dyDescent="0.25">
      <c r="B509" s="3"/>
      <c r="C509" s="3"/>
      <c r="D509" s="3"/>
      <c r="E509" s="3"/>
    </row>
    <row r="510" spans="2:5" ht="9.9499999999999993" customHeight="1" x14ac:dyDescent="0.25">
      <c r="B510" s="3"/>
      <c r="C510" s="3"/>
      <c r="D510" s="3"/>
      <c r="E510" s="3"/>
    </row>
    <row r="511" spans="2:5" ht="9.9499999999999993" customHeight="1" x14ac:dyDescent="0.25">
      <c r="B511" s="3"/>
      <c r="C511" s="3"/>
      <c r="D511" s="3"/>
      <c r="E511" s="3"/>
    </row>
    <row r="512" spans="2:5" ht="9.9499999999999993" customHeight="1" x14ac:dyDescent="0.25">
      <c r="B512" s="3"/>
      <c r="C512" s="3"/>
      <c r="D512" s="3"/>
      <c r="E512" s="3"/>
    </row>
    <row r="513" spans="2:5" ht="9.9499999999999993" customHeight="1" x14ac:dyDescent="0.25">
      <c r="B513" s="3"/>
      <c r="C513" s="3"/>
      <c r="D513" s="3"/>
      <c r="E513" s="3"/>
    </row>
    <row r="514" spans="2:5" ht="9.9499999999999993" customHeight="1" x14ac:dyDescent="0.25">
      <c r="B514" s="3"/>
      <c r="C514" s="3"/>
      <c r="D514" s="3"/>
      <c r="E514" s="3"/>
    </row>
    <row r="515" spans="2:5" ht="9.9499999999999993" customHeight="1" x14ac:dyDescent="0.25">
      <c r="B515" s="3"/>
      <c r="C515" s="3"/>
      <c r="D515" s="3"/>
      <c r="E515" s="3"/>
    </row>
    <row r="516" spans="2:5" ht="9.9499999999999993" customHeight="1" x14ac:dyDescent="0.25">
      <c r="B516" s="3"/>
      <c r="C516" s="3"/>
      <c r="D516" s="3"/>
      <c r="E516" s="3"/>
    </row>
    <row r="517" spans="2:5" ht="9.9499999999999993" customHeight="1" x14ac:dyDescent="0.25">
      <c r="B517" s="3"/>
      <c r="C517" s="3"/>
      <c r="D517" s="3"/>
      <c r="E517" s="3"/>
    </row>
    <row r="518" spans="2:5" ht="9.9499999999999993" customHeight="1" x14ac:dyDescent="0.25">
      <c r="B518" s="3"/>
      <c r="C518" s="3"/>
      <c r="D518" s="3"/>
      <c r="E518" s="3"/>
    </row>
    <row r="519" spans="2:5" ht="9.9499999999999993" customHeight="1" x14ac:dyDescent="0.25">
      <c r="B519" s="3"/>
      <c r="C519" s="3"/>
      <c r="D519" s="3"/>
      <c r="E519" s="3"/>
    </row>
    <row r="520" spans="2:5" ht="9.9499999999999993" customHeight="1" x14ac:dyDescent="0.25">
      <c r="B520" s="3"/>
      <c r="C520" s="3"/>
      <c r="D520" s="3"/>
      <c r="E520" s="3"/>
    </row>
    <row r="521" spans="2:5" ht="9.9499999999999993" customHeight="1" x14ac:dyDescent="0.25">
      <c r="B521" s="3"/>
      <c r="C521" s="3"/>
      <c r="D521" s="3"/>
      <c r="E521" s="3"/>
    </row>
    <row r="522" spans="2:5" ht="9.9499999999999993" customHeight="1" x14ac:dyDescent="0.25">
      <c r="B522" s="3"/>
      <c r="C522" s="3"/>
      <c r="D522" s="3"/>
      <c r="E522" s="3"/>
    </row>
    <row r="523" spans="2:5" ht="9.9499999999999993" customHeight="1" x14ac:dyDescent="0.25">
      <c r="B523" s="3"/>
      <c r="C523" s="3"/>
      <c r="D523" s="3"/>
      <c r="E523" s="3"/>
    </row>
    <row r="524" spans="2:5" ht="9.9499999999999993" customHeight="1" x14ac:dyDescent="0.25">
      <c r="B524" s="3"/>
      <c r="C524" s="3"/>
      <c r="D524" s="3"/>
      <c r="E524" s="3"/>
    </row>
    <row r="525" spans="2:5" ht="9.9499999999999993" customHeight="1" x14ac:dyDescent="0.25">
      <c r="B525" s="3"/>
      <c r="C525" s="3"/>
      <c r="D525" s="3"/>
      <c r="E525" s="3"/>
    </row>
    <row r="526" spans="2:5" ht="9.9499999999999993" customHeight="1" x14ac:dyDescent="0.25">
      <c r="B526" s="3"/>
      <c r="C526" s="3"/>
      <c r="D526" s="3"/>
      <c r="E526" s="3"/>
    </row>
    <row r="527" spans="2:5" ht="9.9499999999999993" customHeight="1" x14ac:dyDescent="0.25">
      <c r="B527" s="3"/>
      <c r="C527" s="3"/>
      <c r="D527" s="3"/>
      <c r="E527" s="3"/>
    </row>
    <row r="528" spans="2:5" ht="9.9499999999999993" customHeight="1" x14ac:dyDescent="0.25">
      <c r="B528" s="3"/>
      <c r="C528" s="3"/>
      <c r="D528" s="3"/>
      <c r="E528" s="3"/>
    </row>
    <row r="529" spans="2:5" ht="9.9499999999999993" customHeight="1" x14ac:dyDescent="0.25">
      <c r="B529" s="3"/>
      <c r="C529" s="3"/>
      <c r="D529" s="3"/>
      <c r="E529" s="3"/>
    </row>
    <row r="530" spans="2:5" ht="9.9499999999999993" customHeight="1" x14ac:dyDescent="0.25">
      <c r="B530" s="3"/>
      <c r="C530" s="3"/>
      <c r="D530" s="3"/>
      <c r="E530" s="3"/>
    </row>
    <row r="531" spans="2:5" ht="9.9499999999999993" customHeight="1" x14ac:dyDescent="0.25">
      <c r="B531" s="3"/>
      <c r="C531" s="3"/>
      <c r="D531" s="3"/>
      <c r="E531" s="3"/>
    </row>
    <row r="532" spans="2:5" ht="9.9499999999999993" customHeight="1" x14ac:dyDescent="0.25">
      <c r="B532" s="3"/>
      <c r="C532" s="3"/>
      <c r="D532" s="3"/>
      <c r="E532" s="3"/>
    </row>
    <row r="533" spans="2:5" ht="9.9499999999999993" customHeight="1" x14ac:dyDescent="0.25">
      <c r="B533" s="3"/>
      <c r="C533" s="3"/>
      <c r="D533" s="3"/>
      <c r="E533" s="3"/>
    </row>
    <row r="534" spans="2:5" ht="9.9499999999999993" customHeight="1" x14ac:dyDescent="0.25">
      <c r="B534" s="3"/>
      <c r="C534" s="3"/>
      <c r="D534" s="3"/>
      <c r="E534" s="3"/>
    </row>
    <row r="535" spans="2:5" ht="9.9499999999999993" customHeight="1" x14ac:dyDescent="0.25">
      <c r="B535" s="3"/>
      <c r="C535" s="3"/>
      <c r="D535" s="3"/>
      <c r="E535" s="3"/>
    </row>
    <row r="536" spans="2:5" ht="9.9499999999999993" customHeight="1" x14ac:dyDescent="0.25">
      <c r="B536" s="3"/>
      <c r="C536" s="3"/>
      <c r="D536" s="3"/>
      <c r="E536" s="3"/>
    </row>
    <row r="537" spans="2:5" ht="9.9499999999999993" customHeight="1" x14ac:dyDescent="0.25">
      <c r="B537" s="3"/>
      <c r="C537" s="3"/>
      <c r="D537" s="3"/>
      <c r="E537" s="3"/>
    </row>
    <row r="538" spans="2:5" ht="9.9499999999999993" customHeight="1" x14ac:dyDescent="0.25">
      <c r="B538" s="3"/>
      <c r="C538" s="3"/>
      <c r="D538" s="3"/>
      <c r="E538" s="3"/>
    </row>
    <row r="539" spans="2:5" ht="9.9499999999999993" customHeight="1" x14ac:dyDescent="0.25">
      <c r="B539" s="3"/>
      <c r="C539" s="3"/>
      <c r="D539" s="3"/>
      <c r="E539" s="3"/>
    </row>
    <row r="540" spans="2:5" ht="9.9499999999999993" customHeight="1" x14ac:dyDescent="0.25">
      <c r="B540" s="3"/>
      <c r="C540" s="3"/>
      <c r="D540" s="3"/>
      <c r="E540" s="3"/>
    </row>
    <row r="541" spans="2:5" ht="9.9499999999999993" customHeight="1" x14ac:dyDescent="0.25">
      <c r="B541" s="3"/>
      <c r="C541" s="3"/>
      <c r="D541" s="3"/>
      <c r="E541" s="3"/>
    </row>
    <row r="542" spans="2:5" ht="9.9499999999999993" customHeight="1" x14ac:dyDescent="0.25">
      <c r="B542" s="3"/>
      <c r="C542" s="3"/>
      <c r="D542" s="3"/>
      <c r="E542" s="3"/>
    </row>
    <row r="543" spans="2:5" ht="9.9499999999999993" customHeight="1" x14ac:dyDescent="0.25">
      <c r="B543" s="3"/>
      <c r="C543" s="3"/>
      <c r="D543" s="3"/>
      <c r="E543" s="3"/>
    </row>
    <row r="544" spans="2:5" ht="9.9499999999999993" customHeight="1" x14ac:dyDescent="0.25">
      <c r="B544" s="3"/>
      <c r="C544" s="3"/>
      <c r="D544" s="3"/>
      <c r="E544" s="3"/>
    </row>
    <row r="545" spans="2:5" ht="9.9499999999999993" customHeight="1" x14ac:dyDescent="0.25">
      <c r="B545" s="3"/>
      <c r="C545" s="3"/>
      <c r="D545" s="3"/>
      <c r="E545" s="3"/>
    </row>
    <row r="546" spans="2:5" ht="9.9499999999999993" customHeight="1" x14ac:dyDescent="0.25">
      <c r="B546" s="3"/>
      <c r="C546" s="3"/>
      <c r="D546" s="3"/>
      <c r="E546" s="3"/>
    </row>
    <row r="547" spans="2:5" ht="9.9499999999999993" customHeight="1" x14ac:dyDescent="0.25">
      <c r="B547" s="3"/>
      <c r="C547" s="3"/>
      <c r="D547" s="3"/>
      <c r="E547" s="3"/>
    </row>
    <row r="548" spans="2:5" ht="9.9499999999999993" customHeight="1" x14ac:dyDescent="0.25">
      <c r="B548" s="3"/>
      <c r="C548" s="3"/>
      <c r="D548" s="3"/>
      <c r="E548" s="3"/>
    </row>
    <row r="549" spans="2:5" ht="9.9499999999999993" customHeight="1" x14ac:dyDescent="0.25">
      <c r="B549" s="3"/>
      <c r="C549" s="3"/>
      <c r="D549" s="3"/>
      <c r="E549" s="3"/>
    </row>
    <row r="550" spans="2:5" ht="9.9499999999999993" customHeight="1" x14ac:dyDescent="0.25">
      <c r="B550" s="3"/>
      <c r="C550" s="3"/>
      <c r="D550" s="3"/>
      <c r="E550" s="3"/>
    </row>
    <row r="551" spans="2:5" ht="9.9499999999999993" customHeight="1" x14ac:dyDescent="0.25">
      <c r="B551" s="3"/>
      <c r="C551" s="3"/>
      <c r="D551" s="3"/>
      <c r="E551" s="3"/>
    </row>
    <row r="552" spans="2:5" ht="9.9499999999999993" customHeight="1" x14ac:dyDescent="0.25">
      <c r="B552" s="3"/>
      <c r="C552" s="3"/>
      <c r="D552" s="3"/>
      <c r="E552" s="3"/>
    </row>
    <row r="553" spans="2:5" ht="9.9499999999999993" customHeight="1" x14ac:dyDescent="0.25">
      <c r="B553" s="3"/>
      <c r="C553" s="3"/>
      <c r="D553" s="3"/>
      <c r="E553" s="3"/>
    </row>
    <row r="554" spans="2:5" ht="9.9499999999999993" customHeight="1" x14ac:dyDescent="0.25">
      <c r="B554" s="3"/>
      <c r="C554" s="3"/>
      <c r="D554" s="3"/>
      <c r="E554" s="3"/>
    </row>
    <row r="555" spans="2:5" ht="9.9499999999999993" customHeight="1" x14ac:dyDescent="0.25">
      <c r="B555" s="3"/>
      <c r="C555" s="3"/>
      <c r="D555" s="3"/>
      <c r="E555" s="3"/>
    </row>
    <row r="556" spans="2:5" ht="9.9499999999999993" customHeight="1" x14ac:dyDescent="0.25">
      <c r="B556" s="3"/>
      <c r="C556" s="3"/>
      <c r="D556" s="3"/>
      <c r="E556" s="3"/>
    </row>
    <row r="557" spans="2:5" ht="9.9499999999999993" customHeight="1" x14ac:dyDescent="0.25">
      <c r="B557" s="3"/>
      <c r="C557" s="3"/>
      <c r="D557" s="3"/>
      <c r="E557" s="3"/>
    </row>
    <row r="558" spans="2:5" ht="9.9499999999999993" customHeight="1" x14ac:dyDescent="0.25">
      <c r="B558" s="3"/>
      <c r="C558" s="3"/>
      <c r="D558" s="3"/>
      <c r="E558" s="3"/>
    </row>
    <row r="559" spans="2:5" ht="9.9499999999999993" customHeight="1" x14ac:dyDescent="0.25">
      <c r="B559" s="3"/>
      <c r="C559" s="3"/>
      <c r="D559" s="3"/>
      <c r="E559" s="3"/>
    </row>
    <row r="560" spans="2:5" ht="9.9499999999999993" customHeight="1" x14ac:dyDescent="0.25">
      <c r="B560" s="3"/>
      <c r="C560" s="3"/>
      <c r="D560" s="3"/>
      <c r="E560" s="3"/>
    </row>
    <row r="561" spans="2:5" ht="9.9499999999999993" customHeight="1" x14ac:dyDescent="0.25">
      <c r="B561" s="3"/>
      <c r="C561" s="3"/>
      <c r="D561" s="3"/>
      <c r="E561" s="3"/>
    </row>
    <row r="562" spans="2:5" ht="9.9499999999999993" customHeight="1" x14ac:dyDescent="0.25">
      <c r="B562" s="3"/>
      <c r="C562" s="3"/>
      <c r="D562" s="3"/>
      <c r="E562" s="3"/>
    </row>
    <row r="563" spans="2:5" ht="9.9499999999999993" customHeight="1" x14ac:dyDescent="0.25">
      <c r="B563" s="3"/>
      <c r="C563" s="3"/>
      <c r="D563" s="3"/>
      <c r="E563" s="3"/>
    </row>
    <row r="564" spans="2:5" ht="9.9499999999999993" customHeight="1" x14ac:dyDescent="0.25">
      <c r="B564" s="3"/>
      <c r="C564" s="3"/>
      <c r="D564" s="3"/>
      <c r="E564" s="3"/>
    </row>
    <row r="565" spans="2:5" ht="9.9499999999999993" customHeight="1" x14ac:dyDescent="0.25">
      <c r="B565" s="3"/>
      <c r="C565" s="3"/>
      <c r="D565" s="3"/>
      <c r="E565" s="3"/>
    </row>
    <row r="566" spans="2:5" ht="9.9499999999999993" customHeight="1" x14ac:dyDescent="0.25">
      <c r="B566" s="3"/>
      <c r="C566" s="3"/>
      <c r="D566" s="3"/>
      <c r="E566" s="3"/>
    </row>
    <row r="567" spans="2:5" ht="9.9499999999999993" customHeight="1" x14ac:dyDescent="0.25">
      <c r="B567" s="3"/>
      <c r="C567" s="3"/>
      <c r="D567" s="3"/>
      <c r="E567" s="3"/>
    </row>
    <row r="568" spans="2:5" ht="9.9499999999999993" customHeight="1" x14ac:dyDescent="0.25">
      <c r="B568" s="3"/>
      <c r="C568" s="3"/>
      <c r="D568" s="3"/>
      <c r="E568" s="3"/>
    </row>
    <row r="569" spans="2:5" ht="9.9499999999999993" customHeight="1" x14ac:dyDescent="0.25">
      <c r="B569" s="3"/>
      <c r="C569" s="3"/>
      <c r="D569" s="3"/>
      <c r="E569" s="3"/>
    </row>
    <row r="570" spans="2:5" ht="9.9499999999999993" customHeight="1" x14ac:dyDescent="0.25">
      <c r="B570" s="3"/>
      <c r="C570" s="3"/>
      <c r="D570" s="3"/>
      <c r="E570" s="3"/>
    </row>
    <row r="571" spans="2:5" ht="9.9499999999999993" customHeight="1" x14ac:dyDescent="0.25">
      <c r="B571" s="3"/>
      <c r="C571" s="3"/>
      <c r="D571" s="3"/>
      <c r="E571" s="3"/>
    </row>
    <row r="572" spans="2:5" ht="9.9499999999999993" customHeight="1" x14ac:dyDescent="0.25">
      <c r="B572" s="3"/>
      <c r="C572" s="3"/>
      <c r="D572" s="3"/>
      <c r="E572" s="3"/>
    </row>
    <row r="573" spans="2:5" ht="9.9499999999999993" customHeight="1" x14ac:dyDescent="0.25">
      <c r="B573" s="3"/>
      <c r="C573" s="3"/>
      <c r="D573" s="3"/>
      <c r="E573" s="3"/>
    </row>
    <row r="574" spans="2:5" ht="9.9499999999999993" customHeight="1" x14ac:dyDescent="0.25">
      <c r="B574" s="3"/>
      <c r="C574" s="3"/>
      <c r="D574" s="3"/>
      <c r="E574" s="3"/>
    </row>
    <row r="575" spans="2:5" ht="9.9499999999999993" customHeight="1" x14ac:dyDescent="0.25">
      <c r="B575" s="3"/>
      <c r="C575" s="3"/>
      <c r="D575" s="3"/>
      <c r="E575" s="3"/>
    </row>
    <row r="576" spans="2:5" ht="9.9499999999999993" customHeight="1" x14ac:dyDescent="0.25">
      <c r="B576" s="3"/>
      <c r="C576" s="3"/>
      <c r="D576" s="3"/>
      <c r="E576" s="3"/>
    </row>
    <row r="577" spans="2:5" ht="9.9499999999999993" customHeight="1" x14ac:dyDescent="0.25">
      <c r="B577" s="3"/>
      <c r="C577" s="3"/>
      <c r="D577" s="3"/>
      <c r="E577" s="3"/>
    </row>
    <row r="578" spans="2:5" ht="9.9499999999999993" customHeight="1" x14ac:dyDescent="0.25">
      <c r="B578" s="3"/>
      <c r="C578" s="3"/>
      <c r="D578" s="3"/>
      <c r="E578" s="3"/>
    </row>
    <row r="579" spans="2:5" ht="9.9499999999999993" customHeight="1" x14ac:dyDescent="0.25">
      <c r="B579" s="3"/>
      <c r="C579" s="3"/>
      <c r="D579" s="3"/>
      <c r="E579" s="3"/>
    </row>
    <row r="580" spans="2:5" ht="9.9499999999999993" customHeight="1" x14ac:dyDescent="0.25">
      <c r="B580" s="3"/>
      <c r="C580" s="3"/>
      <c r="D580" s="3"/>
      <c r="E580" s="3"/>
    </row>
    <row r="581" spans="2:5" ht="9.9499999999999993" customHeight="1" x14ac:dyDescent="0.25">
      <c r="B581" s="3"/>
      <c r="C581" s="3"/>
      <c r="D581" s="3"/>
      <c r="E581" s="3"/>
    </row>
    <row r="582" spans="2:5" ht="9.9499999999999993" customHeight="1" x14ac:dyDescent="0.25">
      <c r="B582" s="3"/>
      <c r="C582" s="3"/>
      <c r="D582" s="3"/>
      <c r="E582" s="3"/>
    </row>
    <row r="583" spans="2:5" ht="9.9499999999999993" customHeight="1" x14ac:dyDescent="0.25">
      <c r="B583" s="3"/>
      <c r="C583" s="3"/>
      <c r="D583" s="3"/>
      <c r="E583" s="3"/>
    </row>
    <row r="584" spans="2:5" ht="9.9499999999999993" customHeight="1" x14ac:dyDescent="0.25">
      <c r="B584" s="3"/>
      <c r="C584" s="3"/>
      <c r="D584" s="3"/>
      <c r="E584" s="3"/>
    </row>
    <row r="585" spans="2:5" ht="9.9499999999999993" customHeight="1" x14ac:dyDescent="0.25">
      <c r="B585" s="3"/>
      <c r="C585" s="3"/>
      <c r="D585" s="3"/>
      <c r="E585" s="3"/>
    </row>
    <row r="586" spans="2:5" ht="9.9499999999999993" customHeight="1" x14ac:dyDescent="0.25">
      <c r="B586" s="3"/>
      <c r="C586" s="3"/>
      <c r="D586" s="3"/>
      <c r="E586" s="3"/>
    </row>
    <row r="587" spans="2:5" ht="9.9499999999999993" customHeight="1" x14ac:dyDescent="0.25">
      <c r="B587" s="3"/>
      <c r="C587" s="3"/>
      <c r="D587" s="3"/>
      <c r="E587" s="3"/>
    </row>
    <row r="588" spans="2:5" ht="9.9499999999999993" customHeight="1" x14ac:dyDescent="0.25">
      <c r="B588" s="3"/>
      <c r="C588" s="3"/>
      <c r="D588" s="3"/>
      <c r="E588" s="3"/>
    </row>
    <row r="589" spans="2:5" ht="9.9499999999999993" customHeight="1" x14ac:dyDescent="0.25">
      <c r="B589" s="3"/>
      <c r="C589" s="3"/>
      <c r="D589" s="3"/>
      <c r="E589" s="3"/>
    </row>
    <row r="590" spans="2:5" ht="9.9499999999999993" customHeight="1" x14ac:dyDescent="0.25">
      <c r="B590" s="3"/>
      <c r="C590" s="3"/>
      <c r="D590" s="3"/>
      <c r="E590" s="3"/>
    </row>
    <row r="591" spans="2:5" ht="9.9499999999999993" customHeight="1" x14ac:dyDescent="0.25">
      <c r="B591" s="3"/>
      <c r="C591" s="3"/>
      <c r="D591" s="3"/>
      <c r="E591" s="3"/>
    </row>
    <row r="592" spans="2:5" ht="9.9499999999999993" customHeight="1" x14ac:dyDescent="0.25">
      <c r="B592" s="3"/>
      <c r="C592" s="3"/>
      <c r="D592" s="3"/>
      <c r="E592" s="3"/>
    </row>
    <row r="593" spans="2:5" ht="9.9499999999999993" customHeight="1" x14ac:dyDescent="0.25">
      <c r="B593" s="3"/>
      <c r="C593" s="3"/>
      <c r="D593" s="3"/>
      <c r="E593" s="3"/>
    </row>
    <row r="594" spans="2:5" ht="9.9499999999999993" customHeight="1" x14ac:dyDescent="0.25">
      <c r="B594" s="3"/>
      <c r="C594" s="3"/>
      <c r="D594" s="3"/>
      <c r="E594" s="3"/>
    </row>
    <row r="595" spans="2:5" ht="9.9499999999999993" customHeight="1" x14ac:dyDescent="0.25">
      <c r="B595" s="3"/>
      <c r="C595" s="3"/>
      <c r="D595" s="3"/>
      <c r="E595" s="3"/>
    </row>
    <row r="596" spans="2:5" ht="9.9499999999999993" customHeight="1" x14ac:dyDescent="0.25">
      <c r="B596" s="3"/>
      <c r="C596" s="3"/>
      <c r="D596" s="3"/>
      <c r="E596" s="3"/>
    </row>
    <row r="597" spans="2:5" ht="9.9499999999999993" customHeight="1" x14ac:dyDescent="0.25">
      <c r="B597" s="3"/>
      <c r="C597" s="3"/>
      <c r="D597" s="3"/>
      <c r="E597" s="3"/>
    </row>
    <row r="598" spans="2:5" ht="9.9499999999999993" customHeight="1" x14ac:dyDescent="0.25">
      <c r="B598" s="3"/>
      <c r="C598" s="3"/>
      <c r="D598" s="3"/>
      <c r="E598" s="3"/>
    </row>
    <row r="599" spans="2:5" ht="9.9499999999999993" customHeight="1" x14ac:dyDescent="0.25">
      <c r="B599" s="3"/>
      <c r="C599" s="3"/>
      <c r="D599" s="3"/>
      <c r="E599" s="3"/>
    </row>
    <row r="600" spans="2:5" ht="9.9499999999999993" customHeight="1" x14ac:dyDescent="0.25">
      <c r="B600" s="3"/>
      <c r="C600" s="3"/>
      <c r="D600" s="3"/>
      <c r="E600" s="3"/>
    </row>
    <row r="601" spans="2:5" ht="9.9499999999999993" customHeight="1" x14ac:dyDescent="0.25">
      <c r="B601" s="3"/>
      <c r="C601" s="3"/>
      <c r="D601" s="3"/>
      <c r="E601" s="3"/>
    </row>
    <row r="602" spans="2:5" ht="9.9499999999999993" customHeight="1" x14ac:dyDescent="0.25">
      <c r="B602" s="3"/>
      <c r="C602" s="3"/>
      <c r="D602" s="3"/>
      <c r="E602" s="3"/>
    </row>
    <row r="603" spans="2:5" ht="9.9499999999999993" customHeight="1" x14ac:dyDescent="0.25">
      <c r="B603" s="3"/>
      <c r="C603" s="3"/>
      <c r="D603" s="3"/>
      <c r="E603" s="3"/>
    </row>
    <row r="604" spans="2:5" ht="9.9499999999999993" customHeight="1" x14ac:dyDescent="0.25">
      <c r="B604" s="3"/>
      <c r="C604" s="3"/>
      <c r="D604" s="3"/>
      <c r="E604" s="3"/>
    </row>
    <row r="605" spans="2:5" ht="9.9499999999999993" customHeight="1" x14ac:dyDescent="0.25">
      <c r="B605" s="3"/>
      <c r="C605" s="3"/>
      <c r="D605" s="3"/>
      <c r="E605" s="3"/>
    </row>
    <row r="606" spans="2:5" ht="9.9499999999999993" customHeight="1" x14ac:dyDescent="0.25">
      <c r="B606" s="3"/>
      <c r="C606" s="3"/>
      <c r="D606" s="3"/>
      <c r="E606" s="3"/>
    </row>
    <row r="607" spans="2:5" ht="9.9499999999999993" customHeight="1" x14ac:dyDescent="0.25">
      <c r="B607" s="3"/>
      <c r="C607" s="3"/>
      <c r="D607" s="3"/>
      <c r="E607" s="3"/>
    </row>
    <row r="608" spans="2:5" ht="9.9499999999999993" customHeight="1" x14ac:dyDescent="0.25">
      <c r="B608" s="3"/>
      <c r="C608" s="3"/>
      <c r="D608" s="3"/>
      <c r="E608" s="3"/>
    </row>
    <row r="609" spans="2:5" ht="9.9499999999999993" customHeight="1" x14ac:dyDescent="0.25">
      <c r="B609" s="3"/>
      <c r="C609" s="3"/>
      <c r="D609" s="3"/>
      <c r="E609" s="3"/>
    </row>
    <row r="610" spans="2:5" ht="9.9499999999999993" customHeight="1" x14ac:dyDescent="0.25">
      <c r="B610" s="3"/>
      <c r="C610" s="3"/>
      <c r="D610" s="3"/>
      <c r="E610" s="3"/>
    </row>
    <row r="611" spans="2:5" ht="9.9499999999999993" customHeight="1" x14ac:dyDescent="0.25">
      <c r="B611" s="3"/>
      <c r="C611" s="3"/>
      <c r="D611" s="3"/>
      <c r="E611" s="3"/>
    </row>
    <row r="612" spans="2:5" ht="9.9499999999999993" customHeight="1" x14ac:dyDescent="0.25">
      <c r="B612" s="3"/>
      <c r="C612" s="3"/>
      <c r="D612" s="3"/>
      <c r="E612" s="3"/>
    </row>
    <row r="613" spans="2:5" ht="9.9499999999999993" customHeight="1" x14ac:dyDescent="0.25">
      <c r="B613" s="3"/>
      <c r="C613" s="3"/>
      <c r="D613" s="3"/>
      <c r="E613" s="3"/>
    </row>
    <row r="614" spans="2:5" ht="9.9499999999999993" customHeight="1" x14ac:dyDescent="0.25">
      <c r="B614" s="3"/>
      <c r="C614" s="3"/>
      <c r="D614" s="3"/>
      <c r="E614" s="3"/>
    </row>
    <row r="615" spans="2:5" ht="9.9499999999999993" customHeight="1" x14ac:dyDescent="0.25">
      <c r="B615" s="3"/>
      <c r="C615" s="3"/>
      <c r="D615" s="3"/>
      <c r="E615" s="3"/>
    </row>
    <row r="616" spans="2:5" ht="9.9499999999999993" customHeight="1" x14ac:dyDescent="0.25">
      <c r="B616" s="3"/>
      <c r="C616" s="3"/>
      <c r="D616" s="3"/>
      <c r="E616" s="3"/>
    </row>
    <row r="617" spans="2:5" ht="9.9499999999999993" customHeight="1" x14ac:dyDescent="0.25">
      <c r="B617" s="3"/>
      <c r="C617" s="3"/>
      <c r="D617" s="3"/>
      <c r="E617" s="3"/>
    </row>
    <row r="618" spans="2:5" ht="9.9499999999999993" customHeight="1" x14ac:dyDescent="0.25">
      <c r="B618" s="3"/>
      <c r="C618" s="3"/>
      <c r="D618" s="3"/>
      <c r="E618" s="3"/>
    </row>
    <row r="619" spans="2:5" ht="9.9499999999999993" customHeight="1" x14ac:dyDescent="0.25">
      <c r="B619" s="3"/>
      <c r="C619" s="3"/>
      <c r="D619" s="3"/>
      <c r="E619" s="3"/>
    </row>
    <row r="620" spans="2:5" ht="9.9499999999999993" customHeight="1" x14ac:dyDescent="0.25">
      <c r="B620" s="3"/>
      <c r="C620" s="3"/>
      <c r="D620" s="3"/>
      <c r="E620" s="3"/>
    </row>
    <row r="621" spans="2:5" ht="9.9499999999999993" customHeight="1" x14ac:dyDescent="0.25">
      <c r="B621" s="3"/>
      <c r="C621" s="3"/>
      <c r="D621" s="3"/>
      <c r="E621" s="3"/>
    </row>
    <row r="622" spans="2:5" ht="9.9499999999999993" customHeight="1" x14ac:dyDescent="0.25">
      <c r="B622" s="3"/>
      <c r="C622" s="3"/>
      <c r="D622" s="3"/>
      <c r="E622" s="3"/>
    </row>
    <row r="623" spans="2:5" ht="9.9499999999999993" customHeight="1" x14ac:dyDescent="0.25">
      <c r="B623" s="3"/>
      <c r="C623" s="3"/>
      <c r="D623" s="3"/>
      <c r="E623" s="3"/>
    </row>
    <row r="624" spans="2:5" ht="9.9499999999999993" customHeight="1" x14ac:dyDescent="0.25">
      <c r="B624" s="3"/>
      <c r="C624" s="3"/>
      <c r="D624" s="3"/>
      <c r="E624" s="3"/>
    </row>
    <row r="625" spans="2:5" ht="9.9499999999999993" customHeight="1" x14ac:dyDescent="0.25">
      <c r="B625" s="3"/>
      <c r="C625" s="3"/>
      <c r="D625" s="3"/>
      <c r="E625" s="3"/>
    </row>
    <row r="626" spans="2:5" ht="9.9499999999999993" customHeight="1" x14ac:dyDescent="0.25">
      <c r="B626" s="3"/>
      <c r="C626" s="3"/>
      <c r="D626" s="3"/>
      <c r="E626" s="3"/>
    </row>
    <row r="627" spans="2:5" ht="9.9499999999999993" customHeight="1" x14ac:dyDescent="0.25">
      <c r="B627" s="3"/>
      <c r="C627" s="3"/>
      <c r="D627" s="3"/>
      <c r="E627" s="3"/>
    </row>
    <row r="628" spans="2:5" ht="9.9499999999999993" customHeight="1" x14ac:dyDescent="0.25">
      <c r="B628" s="3"/>
      <c r="C628" s="3"/>
      <c r="D628" s="3"/>
      <c r="E628" s="3"/>
    </row>
    <row r="629" spans="2:5" ht="9.9499999999999993" customHeight="1" x14ac:dyDescent="0.25">
      <c r="B629" s="3"/>
      <c r="C629" s="3"/>
      <c r="D629" s="3"/>
      <c r="E629" s="3"/>
    </row>
    <row r="630" spans="2:5" ht="9.9499999999999993" customHeight="1" x14ac:dyDescent="0.25">
      <c r="B630" s="3"/>
      <c r="C630" s="3"/>
      <c r="D630" s="3"/>
      <c r="E630" s="3"/>
    </row>
    <row r="631" spans="2:5" ht="9.9499999999999993" customHeight="1" x14ac:dyDescent="0.25">
      <c r="B631" s="3"/>
      <c r="C631" s="3"/>
      <c r="D631" s="3"/>
      <c r="E631" s="3"/>
    </row>
    <row r="632" spans="2:5" ht="9.9499999999999993" customHeight="1" x14ac:dyDescent="0.25">
      <c r="B632" s="3"/>
      <c r="C632" s="3"/>
      <c r="D632" s="3"/>
      <c r="E632" s="3"/>
    </row>
    <row r="633" spans="2:5" ht="9.9499999999999993" customHeight="1" x14ac:dyDescent="0.25">
      <c r="B633" s="3"/>
      <c r="C633" s="3"/>
      <c r="D633" s="3"/>
      <c r="E633" s="3"/>
    </row>
    <row r="634" spans="2:5" ht="9.9499999999999993" customHeight="1" x14ac:dyDescent="0.25">
      <c r="B634" s="3"/>
      <c r="C634" s="3"/>
      <c r="D634" s="3"/>
      <c r="E634" s="3"/>
    </row>
    <row r="635" spans="2:5" ht="9.9499999999999993" customHeight="1" x14ac:dyDescent="0.25">
      <c r="B635" s="3"/>
      <c r="C635" s="3"/>
      <c r="D635" s="3"/>
      <c r="E635" s="3"/>
    </row>
    <row r="636" spans="2:5" ht="9.9499999999999993" customHeight="1" x14ac:dyDescent="0.25">
      <c r="B636" s="3"/>
      <c r="C636" s="3"/>
      <c r="D636" s="3"/>
      <c r="E636" s="3"/>
    </row>
    <row r="637" spans="2:5" ht="9.9499999999999993" customHeight="1" x14ac:dyDescent="0.25">
      <c r="B637" s="3"/>
      <c r="C637" s="3"/>
      <c r="D637" s="3"/>
      <c r="E637" s="3"/>
    </row>
    <row r="638" spans="2:5" ht="9.9499999999999993" customHeight="1" x14ac:dyDescent="0.25">
      <c r="B638" s="3"/>
      <c r="C638" s="3"/>
      <c r="D638" s="3"/>
      <c r="E638" s="3"/>
    </row>
    <row r="639" spans="2:5" ht="9.9499999999999993" customHeight="1" x14ac:dyDescent="0.25">
      <c r="B639" s="3"/>
      <c r="C639" s="3"/>
      <c r="D639" s="3"/>
      <c r="E639" s="3"/>
    </row>
    <row r="640" spans="2:5" ht="9.9499999999999993" customHeight="1" x14ac:dyDescent="0.25">
      <c r="B640" s="3"/>
      <c r="C640" s="3"/>
      <c r="D640" s="3"/>
      <c r="E640" s="3"/>
    </row>
    <row r="641" spans="2:5" ht="9.9499999999999993" customHeight="1" x14ac:dyDescent="0.25">
      <c r="B641" s="3"/>
      <c r="C641" s="3"/>
      <c r="D641" s="3"/>
      <c r="E641" s="3"/>
    </row>
    <row r="642" spans="2:5" ht="9.9499999999999993" customHeight="1" x14ac:dyDescent="0.25">
      <c r="B642" s="3"/>
      <c r="C642" s="3"/>
      <c r="D642" s="3"/>
      <c r="E642" s="3"/>
    </row>
    <row r="643" spans="2:5" ht="9.9499999999999993" customHeight="1" x14ac:dyDescent="0.25">
      <c r="B643" s="3"/>
      <c r="C643" s="3"/>
      <c r="D643" s="3"/>
      <c r="E643" s="3"/>
    </row>
    <row r="644" spans="2:5" ht="9.9499999999999993" customHeight="1" x14ac:dyDescent="0.25">
      <c r="B644" s="3"/>
      <c r="C644" s="3"/>
      <c r="D644" s="3"/>
      <c r="E644" s="3"/>
    </row>
    <row r="645" spans="2:5" ht="9.9499999999999993" customHeight="1" x14ac:dyDescent="0.25">
      <c r="B645" s="3"/>
      <c r="C645" s="3"/>
      <c r="D645" s="3"/>
      <c r="E645" s="3"/>
    </row>
    <row r="646" spans="2:5" ht="9.9499999999999993" customHeight="1" x14ac:dyDescent="0.25">
      <c r="B646" s="3"/>
      <c r="C646" s="3"/>
      <c r="D646" s="3"/>
      <c r="E646" s="3"/>
    </row>
    <row r="647" spans="2:5" ht="9.9499999999999993" customHeight="1" x14ac:dyDescent="0.25">
      <c r="B647" s="3"/>
      <c r="C647" s="3"/>
      <c r="D647" s="3"/>
      <c r="E647" s="3"/>
    </row>
    <row r="648" spans="2:5" ht="9.9499999999999993" customHeight="1" x14ac:dyDescent="0.25">
      <c r="B648" s="3"/>
      <c r="C648" s="3"/>
      <c r="D648" s="3"/>
      <c r="E648" s="3"/>
    </row>
  </sheetData>
  <phoneticPr fontId="3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Economic Activity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Felipe Almeida</dc:creator>
  <cp:lastModifiedBy>Felipe Pinto</cp:lastModifiedBy>
  <dcterms:created xsi:type="dcterms:W3CDTF">2020-06-08T18:56:56Z</dcterms:created>
  <dcterms:modified xsi:type="dcterms:W3CDTF">2024-11-27T17:39:30Z</dcterms:modified>
</cp:coreProperties>
</file>